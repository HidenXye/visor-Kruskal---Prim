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Data_A" sheetId="1" state="hidden" r:id="rId1"/>
    <sheet xmlns:r="http://schemas.openxmlformats.org/officeDocument/2006/relationships" name="_Calc_A" sheetId="2" state="hidden" r:id="rId2"/>
    <sheet xmlns:r="http://schemas.openxmlformats.org/officeDocument/2006/relationships" name="A-Entropias" sheetId="3" state="visible" r:id="rId3"/>
    <sheet xmlns:r="http://schemas.openxmlformats.org/officeDocument/2006/relationships" name="A-Matriz MI" sheetId="4" state="visible" r:id="rId4"/>
    <sheet xmlns:r="http://schemas.openxmlformats.org/officeDocument/2006/relationships" name="A-MI Detalle (x1-x5)" sheetId="5" state="visible" r:id="rId5"/>
    <sheet xmlns:r="http://schemas.openxmlformats.org/officeDocument/2006/relationships" name="A-Kruskal" sheetId="6" state="visible" r:id="rId6"/>
    <sheet xmlns:r="http://schemas.openxmlformats.org/officeDocument/2006/relationships" name="A-Prim" sheetId="7" state="visible" r:id="rId7"/>
    <sheet xmlns:r="http://schemas.openxmlformats.org/officeDocument/2006/relationships" name="A-MST Resumen" sheetId="8" state="visible" r:id="rId8"/>
    <sheet xmlns:r="http://schemas.openxmlformats.org/officeDocument/2006/relationships" name="_Data_B" sheetId="9" state="hidden" r:id="rId9"/>
    <sheet xmlns:r="http://schemas.openxmlformats.org/officeDocument/2006/relationships" name="_Calc_B" sheetId="10" state="hidden" r:id="rId10"/>
    <sheet xmlns:r="http://schemas.openxmlformats.org/officeDocument/2006/relationships" name="B-Entropias" sheetId="11" state="visible" r:id="rId11"/>
    <sheet xmlns:r="http://schemas.openxmlformats.org/officeDocument/2006/relationships" name="B-Matriz MI" sheetId="12" state="visible" r:id="rId12"/>
    <sheet xmlns:r="http://schemas.openxmlformats.org/officeDocument/2006/relationships" name="B-MI Detalle (x1-x5)" sheetId="13" state="visible" r:id="rId13"/>
    <sheet xmlns:r="http://schemas.openxmlformats.org/officeDocument/2006/relationships" name="B-Kruskal" sheetId="14" state="visible" r:id="rId14"/>
    <sheet xmlns:r="http://schemas.openxmlformats.org/officeDocument/2006/relationships" name="B-Prim" sheetId="15" state="visible" r:id="rId15"/>
    <sheet xmlns:r="http://schemas.openxmlformats.org/officeDocument/2006/relationships" name="B-MST Resumen" sheetId="16" state="visible" r:id="rId16"/>
    <sheet xmlns:r="http://schemas.openxmlformats.org/officeDocument/2006/relationships" name="Rutas MST A" sheetId="17" state="visible" r:id="rId17"/>
    <sheet xmlns:r="http://schemas.openxmlformats.org/officeDocument/2006/relationships" name="Rutas MST B" sheetId="18" state="visible" r:id="rId18"/>
    <sheet xmlns:r="http://schemas.openxmlformats.org/officeDocument/2006/relationships" name="Sensibilidad rVP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0"/>
    </font>
    <font>
      <name val="Calibri"/>
      <b val="1"/>
      <color rgb="001F4E79"/>
      <sz val="12"/>
    </font>
    <font>
      <name val="Calibri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CE4D6"/>
        <b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" fontId="4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x5</t>
        </is>
      </c>
      <c r="D1" t="inlineStr">
        <is>
          <t>x4</t>
        </is>
      </c>
      <c r="E1" t="inlineStr">
        <is>
          <t>x6</t>
        </is>
      </c>
      <c r="F1" t="inlineStr">
        <is>
          <t>x9</t>
        </is>
      </c>
      <c r="G1" t="inlineStr">
        <is>
          <t>x3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2</v>
      </c>
      <c r="G2" t="n">
        <v>2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3</v>
      </c>
      <c r="G3" t="n">
        <v>2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2</v>
      </c>
      <c r="G4" t="n">
        <v>2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3</v>
      </c>
      <c r="G5" t="n">
        <v>2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3</v>
      </c>
      <c r="G6" t="n">
        <v>0</v>
      </c>
    </row>
    <row r="7">
      <c r="A7" t="n">
        <v>1</v>
      </c>
      <c r="B7" t="n">
        <v>0</v>
      </c>
      <c r="C7" t="n">
        <v>2</v>
      </c>
      <c r="D7" t="n">
        <v>1</v>
      </c>
      <c r="E7" t="n">
        <v>1</v>
      </c>
      <c r="F7" t="n">
        <v>3</v>
      </c>
      <c r="G7" t="n">
        <v>2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1</v>
      </c>
      <c r="F8" t="n">
        <v>1</v>
      </c>
      <c r="G8" t="n">
        <v>2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2</v>
      </c>
      <c r="G9" t="n">
        <v>2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0</v>
      </c>
      <c r="F10" t="n">
        <v>2</v>
      </c>
      <c r="G10" t="n">
        <v>0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3</v>
      </c>
      <c r="G11" t="n">
        <v>2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0</v>
      </c>
      <c r="F12" t="n">
        <v>2</v>
      </c>
      <c r="G12" t="n">
        <v>2</v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2</v>
      </c>
      <c r="G14" t="n">
        <v>2</v>
      </c>
    </row>
    <row r="15">
      <c r="A15" t="n">
        <v>1</v>
      </c>
      <c r="B15" t="n">
        <v>0</v>
      </c>
      <c r="C15" t="n">
        <v>2</v>
      </c>
      <c r="D15" t="n">
        <v>1</v>
      </c>
      <c r="E15" t="n">
        <v>1</v>
      </c>
      <c r="F15" t="n">
        <v>3</v>
      </c>
      <c r="G15" t="n">
        <v>2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2</v>
      </c>
      <c r="G16" t="n">
        <v>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1</v>
      </c>
      <c r="F17" t="n">
        <v>3</v>
      </c>
      <c r="G17" t="n">
        <v>0</v>
      </c>
    </row>
    <row r="18">
      <c r="A18" t="n">
        <v>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2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2</v>
      </c>
      <c r="G19" t="n">
        <v>0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2</v>
      </c>
      <c r="G20" t="n">
        <v>2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</row>
    <row r="22">
      <c r="A22" t="n">
        <v>1</v>
      </c>
      <c r="B22" t="n">
        <v>0</v>
      </c>
      <c r="C22" t="n">
        <v>2</v>
      </c>
      <c r="D22" t="n">
        <v>1</v>
      </c>
      <c r="E22" t="n">
        <v>1</v>
      </c>
      <c r="F22" t="n">
        <v>3</v>
      </c>
      <c r="G22" t="n">
        <v>2</v>
      </c>
    </row>
    <row r="23">
      <c r="A23" t="n">
        <v>0</v>
      </c>
      <c r="B23" t="n">
        <v>0</v>
      </c>
      <c r="C23" t="n">
        <v>0</v>
      </c>
      <c r="D23" t="n">
        <v>1</v>
      </c>
      <c r="E23" t="n">
        <v>0</v>
      </c>
      <c r="F23" t="n">
        <v>2</v>
      </c>
      <c r="G23" t="n">
        <v>2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0</v>
      </c>
      <c r="F24" t="n">
        <v>2</v>
      </c>
      <c r="G24" t="n">
        <v>2</v>
      </c>
    </row>
    <row r="25">
      <c r="A25" t="n">
        <v>1</v>
      </c>
      <c r="B25" t="n">
        <v>0</v>
      </c>
      <c r="C25" t="n">
        <v>2</v>
      </c>
      <c r="D25" t="n">
        <v>1</v>
      </c>
      <c r="E25" t="n">
        <v>0</v>
      </c>
      <c r="F25" t="n">
        <v>2</v>
      </c>
      <c r="G25" t="n">
        <v>0</v>
      </c>
    </row>
    <row r="26">
      <c r="A26" t="n">
        <v>0</v>
      </c>
      <c r="B26" t="n">
        <v>0</v>
      </c>
      <c r="C26" t="n">
        <v>0</v>
      </c>
      <c r="D26" t="n">
        <v>1</v>
      </c>
      <c r="E26" t="n">
        <v>0</v>
      </c>
      <c r="F26" t="n">
        <v>2</v>
      </c>
      <c r="G26" t="n">
        <v>2</v>
      </c>
    </row>
    <row r="27">
      <c r="A27" t="n">
        <v>0</v>
      </c>
      <c r="B27" t="n">
        <v>0</v>
      </c>
      <c r="C27" t="n">
        <v>0</v>
      </c>
      <c r="D27" t="n">
        <v>1</v>
      </c>
      <c r="E27" t="n">
        <v>1</v>
      </c>
      <c r="F27" t="n">
        <v>3</v>
      </c>
      <c r="G27" t="n">
        <v>2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2</v>
      </c>
      <c r="G28" t="n">
        <v>2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1</v>
      </c>
      <c r="F29" t="n">
        <v>3</v>
      </c>
      <c r="G29" t="n">
        <v>2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t="n">
        <v>1</v>
      </c>
      <c r="B31" t="n">
        <v>0</v>
      </c>
      <c r="C31" t="n">
        <v>2</v>
      </c>
      <c r="D31" t="n">
        <v>1</v>
      </c>
      <c r="E31" t="n">
        <v>1</v>
      </c>
      <c r="F31" t="n">
        <v>3</v>
      </c>
      <c r="G31" t="n">
        <v>2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</row>
    <row r="33">
      <c r="A33" t="n">
        <v>1</v>
      </c>
      <c r="B33" t="n">
        <v>0</v>
      </c>
      <c r="C33" t="n">
        <v>2</v>
      </c>
      <c r="D33" t="n">
        <v>1</v>
      </c>
      <c r="E33" t="n">
        <v>1</v>
      </c>
      <c r="F33" t="n">
        <v>3</v>
      </c>
      <c r="G33" t="n">
        <v>2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2</v>
      </c>
      <c r="G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3</v>
      </c>
      <c r="G35" t="n">
        <v>2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2</v>
      </c>
      <c r="G36" t="n">
        <v>2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0</v>
      </c>
      <c r="F37" t="n">
        <v>2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3</v>
      </c>
      <c r="G38" t="n">
        <v>0</v>
      </c>
    </row>
    <row r="39">
      <c r="A39" t="n">
        <v>0</v>
      </c>
      <c r="B39" t="n">
        <v>1</v>
      </c>
      <c r="C39" t="n">
        <v>1</v>
      </c>
      <c r="D39" t="n">
        <v>1</v>
      </c>
      <c r="E39" t="n">
        <v>1</v>
      </c>
      <c r="F39" t="n">
        <v>3</v>
      </c>
      <c r="G39" t="n">
        <v>2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3</v>
      </c>
      <c r="G40" t="n">
        <v>2</v>
      </c>
    </row>
    <row r="41">
      <c r="A41" t="n">
        <v>1</v>
      </c>
      <c r="B41" t="n">
        <v>0</v>
      </c>
      <c r="C41" t="n">
        <v>2</v>
      </c>
      <c r="D41" t="n">
        <v>1</v>
      </c>
      <c r="E41" t="n">
        <v>0</v>
      </c>
      <c r="F41" t="n">
        <v>2</v>
      </c>
      <c r="G41" t="n">
        <v>2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3</v>
      </c>
      <c r="G42" t="n">
        <v>2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0</v>
      </c>
      <c r="F43" t="n">
        <v>2</v>
      </c>
      <c r="G43" t="n">
        <v>2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3</v>
      </c>
      <c r="G44" t="n">
        <v>2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2</v>
      </c>
      <c r="G45" t="n">
        <v>2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2</v>
      </c>
      <c r="G46" t="n">
        <v>2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2</v>
      </c>
      <c r="G47" t="n">
        <v>2</v>
      </c>
    </row>
    <row r="48">
      <c r="A48" t="n">
        <v>0</v>
      </c>
      <c r="B48" t="n">
        <v>1</v>
      </c>
      <c r="C48" t="n">
        <v>1</v>
      </c>
      <c r="D48" t="n">
        <v>1</v>
      </c>
      <c r="E48" t="n">
        <v>1</v>
      </c>
      <c r="F48" t="n">
        <v>3</v>
      </c>
      <c r="G48" t="n">
        <v>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2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1</v>
      </c>
      <c r="F50" t="n">
        <v>3</v>
      </c>
      <c r="G50" t="n">
        <v>2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3</v>
      </c>
      <c r="G51" t="n">
        <v>2</v>
      </c>
    </row>
    <row r="52">
      <c r="A52" t="n">
        <v>1</v>
      </c>
      <c r="B52" t="n">
        <v>1</v>
      </c>
      <c r="C52" t="n">
        <v>0</v>
      </c>
      <c r="D52" t="n">
        <v>1</v>
      </c>
      <c r="E52" t="n">
        <v>0</v>
      </c>
      <c r="F52" t="n">
        <v>2</v>
      </c>
      <c r="G52" t="n">
        <v>2</v>
      </c>
    </row>
    <row r="53">
      <c r="A53" t="n">
        <v>1</v>
      </c>
      <c r="B53" t="n">
        <v>0</v>
      </c>
      <c r="C53" t="n">
        <v>2</v>
      </c>
      <c r="D53" t="n">
        <v>1</v>
      </c>
      <c r="E53" t="n">
        <v>1</v>
      </c>
      <c r="F53" t="n">
        <v>3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0</v>
      </c>
      <c r="F54" t="n">
        <v>2</v>
      </c>
      <c r="G54" t="n">
        <v>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2</v>
      </c>
    </row>
    <row r="56">
      <c r="A56" t="n">
        <v>1</v>
      </c>
      <c r="B56" t="n">
        <v>1</v>
      </c>
      <c r="C56" t="n">
        <v>0</v>
      </c>
      <c r="D56" t="n">
        <v>1</v>
      </c>
      <c r="E56" t="n">
        <v>0</v>
      </c>
      <c r="F56" t="n">
        <v>2</v>
      </c>
      <c r="G56" t="n">
        <v>2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3</v>
      </c>
      <c r="G57" t="n">
        <v>0</v>
      </c>
    </row>
    <row r="58">
      <c r="A58" t="n">
        <v>1</v>
      </c>
      <c r="B58" t="n">
        <v>0</v>
      </c>
      <c r="C58" t="n">
        <v>2</v>
      </c>
      <c r="D58" t="n">
        <v>1</v>
      </c>
      <c r="E58" t="n">
        <v>0</v>
      </c>
      <c r="F58" t="n">
        <v>2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2</v>
      </c>
    </row>
    <row r="60">
      <c r="A60" t="n">
        <v>1</v>
      </c>
      <c r="B60" t="n">
        <v>0</v>
      </c>
      <c r="C60" t="n">
        <v>2</v>
      </c>
      <c r="D60" t="n">
        <v>1</v>
      </c>
      <c r="E60" t="n">
        <v>0</v>
      </c>
      <c r="F60" t="n">
        <v>2</v>
      </c>
      <c r="G60" t="n">
        <v>2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2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2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1</v>
      </c>
      <c r="F63" t="n">
        <v>3</v>
      </c>
      <c r="G63" t="n">
        <v>2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2</v>
      </c>
      <c r="G64" t="n">
        <v>0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2</v>
      </c>
      <c r="G65" t="n">
        <v>2</v>
      </c>
    </row>
    <row r="66">
      <c r="A66" t="n">
        <v>1</v>
      </c>
      <c r="B66" t="n">
        <v>0</v>
      </c>
      <c r="C66" t="n">
        <v>2</v>
      </c>
      <c r="D66" t="n">
        <v>1</v>
      </c>
      <c r="E66" t="n">
        <v>1</v>
      </c>
      <c r="F66" t="n">
        <v>3</v>
      </c>
      <c r="G66" t="n">
        <v>2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2</v>
      </c>
    </row>
    <row r="68">
      <c r="A68" t="n">
        <v>0</v>
      </c>
      <c r="B68" t="n">
        <v>1</v>
      </c>
      <c r="C68" t="n">
        <v>1</v>
      </c>
      <c r="D68" t="n">
        <v>1</v>
      </c>
      <c r="E68" t="n">
        <v>1</v>
      </c>
      <c r="F68" t="n">
        <v>3</v>
      </c>
      <c r="G68" t="n">
        <v>2</v>
      </c>
    </row>
    <row r="69">
      <c r="A69" t="n">
        <v>0</v>
      </c>
      <c r="B69" t="n">
        <v>0</v>
      </c>
      <c r="C69" t="n">
        <v>0</v>
      </c>
      <c r="D69" t="n">
        <v>1</v>
      </c>
      <c r="E69" t="n">
        <v>0</v>
      </c>
      <c r="F69" t="n">
        <v>2</v>
      </c>
      <c r="G69" t="n">
        <v>2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3</v>
      </c>
      <c r="G70" t="n">
        <v>2</v>
      </c>
    </row>
    <row r="71">
      <c r="A71" t="n">
        <v>0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2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2</v>
      </c>
      <c r="G72" t="n">
        <v>2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3</v>
      </c>
      <c r="G73" t="n">
        <v>2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</v>
      </c>
      <c r="F74" t="n">
        <v>2</v>
      </c>
      <c r="G74" t="n">
        <v>2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1</v>
      </c>
      <c r="F75" t="n">
        <v>3</v>
      </c>
      <c r="G75" t="n">
        <v>2</v>
      </c>
    </row>
    <row r="76">
      <c r="A76" t="n">
        <v>1</v>
      </c>
      <c r="B76" t="n">
        <v>1</v>
      </c>
      <c r="C76" t="n">
        <v>0</v>
      </c>
      <c r="D76" t="n">
        <v>1</v>
      </c>
      <c r="E76" t="n">
        <v>1</v>
      </c>
      <c r="F76" t="n">
        <v>3</v>
      </c>
      <c r="G76" t="n">
        <v>2</v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0</v>
      </c>
      <c r="F77" t="n">
        <v>2</v>
      </c>
      <c r="G77" t="n">
        <v>0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1</v>
      </c>
      <c r="F78" t="n">
        <v>3</v>
      </c>
      <c r="G78" t="n">
        <v>2</v>
      </c>
    </row>
    <row r="79">
      <c r="A79" t="n">
        <v>0</v>
      </c>
      <c r="B79" t="n">
        <v>0</v>
      </c>
      <c r="C79" t="n">
        <v>0</v>
      </c>
      <c r="D79" t="n">
        <v>1</v>
      </c>
      <c r="E79" t="n">
        <v>0</v>
      </c>
      <c r="F79" t="n">
        <v>2</v>
      </c>
      <c r="G79" t="n">
        <v>2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0</v>
      </c>
      <c r="F81" t="n">
        <v>2</v>
      </c>
      <c r="G81" t="n">
        <v>2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0</v>
      </c>
      <c r="F83" t="n">
        <v>2</v>
      </c>
      <c r="G83" t="n">
        <v>2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0</v>
      </c>
      <c r="F84" t="n">
        <v>2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3</v>
      </c>
      <c r="G85" t="n">
        <v>2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1</v>
      </c>
      <c r="F86" t="n">
        <v>3</v>
      </c>
      <c r="G86" t="n">
        <v>2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3</v>
      </c>
      <c r="G87" t="n">
        <v>2</v>
      </c>
    </row>
    <row r="88">
      <c r="A88" t="n">
        <v>1</v>
      </c>
      <c r="B88" t="n">
        <v>0</v>
      </c>
      <c r="C88" t="n">
        <v>2</v>
      </c>
      <c r="D88" t="n">
        <v>1</v>
      </c>
      <c r="E88" t="n">
        <v>0</v>
      </c>
      <c r="F88" t="n">
        <v>2</v>
      </c>
      <c r="G88" t="n">
        <v>2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2</v>
      </c>
    </row>
    <row r="90">
      <c r="A90" t="n">
        <v>1</v>
      </c>
      <c r="B90" t="n">
        <v>1</v>
      </c>
      <c r="C90" t="n">
        <v>0</v>
      </c>
      <c r="D90" t="n">
        <v>0</v>
      </c>
      <c r="E90" t="n">
        <v>1</v>
      </c>
      <c r="F90" t="n">
        <v>1</v>
      </c>
      <c r="G90" t="n">
        <v>2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1</v>
      </c>
      <c r="G91" t="n">
        <v>2</v>
      </c>
    </row>
    <row r="92">
      <c r="A92" t="n">
        <v>0</v>
      </c>
      <c r="B92" t="n">
        <v>0</v>
      </c>
      <c r="C92" t="n">
        <v>0</v>
      </c>
      <c r="D92" t="n">
        <v>1</v>
      </c>
      <c r="E92" t="n">
        <v>0</v>
      </c>
      <c r="F92" t="n">
        <v>2</v>
      </c>
      <c r="G92" t="n">
        <v>2</v>
      </c>
    </row>
    <row r="93">
      <c r="A93" t="n">
        <v>1</v>
      </c>
      <c r="B93" t="n">
        <v>1</v>
      </c>
      <c r="C93" t="n">
        <v>0</v>
      </c>
      <c r="D93" t="n">
        <v>1</v>
      </c>
      <c r="E93" t="n">
        <v>0</v>
      </c>
      <c r="F93" t="n">
        <v>2</v>
      </c>
      <c r="G93" t="n">
        <v>2</v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3</v>
      </c>
      <c r="G94" t="n">
        <v>2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3</v>
      </c>
      <c r="G95" t="n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2</v>
      </c>
      <c r="G96" t="n">
        <v>2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2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0</v>
      </c>
      <c r="F98" t="n">
        <v>2</v>
      </c>
      <c r="G98" t="n">
        <v>0</v>
      </c>
    </row>
    <row r="99">
      <c r="A99" t="n">
        <v>1</v>
      </c>
      <c r="B99" t="n">
        <v>0</v>
      </c>
      <c r="C99" t="n">
        <v>2</v>
      </c>
      <c r="D99" t="n">
        <v>1</v>
      </c>
      <c r="E99" t="n">
        <v>0</v>
      </c>
      <c r="F99" t="n">
        <v>2</v>
      </c>
      <c r="G99" t="n">
        <v>2</v>
      </c>
    </row>
    <row r="100">
      <c r="A100" t="n">
        <v>0</v>
      </c>
      <c r="B100" t="n">
        <v>1</v>
      </c>
      <c r="C100" t="n">
        <v>1</v>
      </c>
      <c r="D100" t="n">
        <v>1</v>
      </c>
      <c r="E100" t="n">
        <v>1</v>
      </c>
      <c r="F100" t="n">
        <v>3</v>
      </c>
      <c r="G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0</v>
      </c>
      <c r="F101" t="n">
        <v>2</v>
      </c>
      <c r="G101" t="n">
        <v>2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2</v>
      </c>
      <c r="G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0</v>
      </c>
      <c r="F103" t="n">
        <v>2</v>
      </c>
      <c r="G103" t="n">
        <v>2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2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1</v>
      </c>
      <c r="F105" t="n">
        <v>3</v>
      </c>
      <c r="G105" t="n">
        <v>2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3</v>
      </c>
      <c r="G106" t="n">
        <v>2</v>
      </c>
    </row>
    <row r="107">
      <c r="A107" t="n">
        <v>1</v>
      </c>
      <c r="B107" t="n">
        <v>0</v>
      </c>
      <c r="C107" t="n">
        <v>2</v>
      </c>
      <c r="D107" t="n">
        <v>1</v>
      </c>
      <c r="E107" t="n">
        <v>0</v>
      </c>
      <c r="F107" t="n">
        <v>2</v>
      </c>
      <c r="G107" t="n">
        <v>2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2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0</v>
      </c>
      <c r="F109" t="n">
        <v>2</v>
      </c>
      <c r="G109" t="n">
        <v>2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2</v>
      </c>
      <c r="G110" t="n">
        <v>2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1</v>
      </c>
      <c r="F111" t="n">
        <v>3</v>
      </c>
      <c r="G111" t="n">
        <v>2</v>
      </c>
    </row>
    <row r="112">
      <c r="A112" t="n">
        <v>1</v>
      </c>
      <c r="B112" t="n">
        <v>1</v>
      </c>
      <c r="C112" t="n">
        <v>0</v>
      </c>
      <c r="D112" t="n">
        <v>1</v>
      </c>
      <c r="E112" t="n">
        <v>1</v>
      </c>
      <c r="F112" t="n">
        <v>3</v>
      </c>
      <c r="G112" t="n">
        <v>2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2</v>
      </c>
      <c r="G113" t="n">
        <v>2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2</v>
      </c>
    </row>
    <row r="115">
      <c r="A115" t="n">
        <v>1</v>
      </c>
      <c r="B115" t="n">
        <v>0</v>
      </c>
      <c r="C115" t="n">
        <v>2</v>
      </c>
      <c r="D115" t="n">
        <v>1</v>
      </c>
      <c r="E115" t="n">
        <v>1</v>
      </c>
      <c r="F115" t="n">
        <v>3</v>
      </c>
      <c r="G115" t="n">
        <v>2</v>
      </c>
    </row>
    <row r="116">
      <c r="A116" t="n">
        <v>1</v>
      </c>
      <c r="B116" t="n">
        <v>0</v>
      </c>
      <c r="C116" t="n">
        <v>2</v>
      </c>
      <c r="D116" t="n">
        <v>0</v>
      </c>
      <c r="E116" t="n">
        <v>0</v>
      </c>
      <c r="F116" t="n">
        <v>0</v>
      </c>
      <c r="G116" t="n">
        <v>0</v>
      </c>
    </row>
    <row r="117">
      <c r="A117" t="n">
        <v>1</v>
      </c>
      <c r="B117" t="n">
        <v>1</v>
      </c>
      <c r="C117" t="n">
        <v>0</v>
      </c>
      <c r="D117" t="n">
        <v>1</v>
      </c>
      <c r="E117" t="n">
        <v>0</v>
      </c>
      <c r="F117" t="n">
        <v>2</v>
      </c>
      <c r="G117" t="n">
        <v>2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3</v>
      </c>
      <c r="G118" t="n">
        <v>2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1</v>
      </c>
      <c r="F119" t="n">
        <v>3</v>
      </c>
      <c r="G119" t="n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1</v>
      </c>
      <c r="F120" t="n">
        <v>3</v>
      </c>
      <c r="G120" t="n">
        <v>2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2</v>
      </c>
      <c r="G121" t="n">
        <v>2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0</v>
      </c>
      <c r="F122" t="n">
        <v>2</v>
      </c>
      <c r="G122" t="n">
        <v>0</v>
      </c>
    </row>
    <row r="123">
      <c r="A123" t="n">
        <v>1</v>
      </c>
      <c r="B123" t="n">
        <v>0</v>
      </c>
      <c r="C123" t="n">
        <v>2</v>
      </c>
      <c r="D123" t="n">
        <v>1</v>
      </c>
      <c r="E123" t="n">
        <v>0</v>
      </c>
      <c r="F123" t="n">
        <v>2</v>
      </c>
      <c r="G123" t="n">
        <v>2</v>
      </c>
    </row>
    <row r="124">
      <c r="A124" t="n">
        <v>0</v>
      </c>
      <c r="B124" t="n">
        <v>1</v>
      </c>
      <c r="C124" t="n">
        <v>1</v>
      </c>
      <c r="D124" t="n">
        <v>1</v>
      </c>
      <c r="E124" t="n">
        <v>0</v>
      </c>
      <c r="F124" t="n">
        <v>2</v>
      </c>
      <c r="G124" t="n">
        <v>2</v>
      </c>
    </row>
    <row r="125">
      <c r="A125" t="n">
        <v>0</v>
      </c>
      <c r="B125" t="n">
        <v>1</v>
      </c>
      <c r="C125" t="n">
        <v>1</v>
      </c>
      <c r="D125" t="n">
        <v>1</v>
      </c>
      <c r="E125" t="n">
        <v>1</v>
      </c>
      <c r="F125" t="n">
        <v>3</v>
      </c>
      <c r="G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1</v>
      </c>
      <c r="F126" t="n">
        <v>3</v>
      </c>
      <c r="G126" t="n">
        <v>2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0</v>
      </c>
    </row>
    <row r="128">
      <c r="A128" t="n">
        <v>1</v>
      </c>
      <c r="B128" t="n">
        <v>1</v>
      </c>
      <c r="C128" t="n">
        <v>0</v>
      </c>
      <c r="D128" t="n">
        <v>1</v>
      </c>
      <c r="E128" t="n">
        <v>1</v>
      </c>
      <c r="F128" t="n">
        <v>3</v>
      </c>
      <c r="G128" t="n">
        <v>0</v>
      </c>
    </row>
    <row r="129">
      <c r="A129" t="n">
        <v>1</v>
      </c>
      <c r="B129" t="n">
        <v>0</v>
      </c>
      <c r="C129" t="n">
        <v>2</v>
      </c>
      <c r="D129" t="n">
        <v>1</v>
      </c>
      <c r="E129" t="n">
        <v>1</v>
      </c>
      <c r="F129" t="n">
        <v>3</v>
      </c>
      <c r="G129" t="n">
        <v>2</v>
      </c>
    </row>
    <row r="130">
      <c r="A130" t="n">
        <v>1</v>
      </c>
      <c r="B130" t="n">
        <v>1</v>
      </c>
      <c r="C130" t="n">
        <v>0</v>
      </c>
      <c r="D130" t="n">
        <v>1</v>
      </c>
      <c r="E130" t="n">
        <v>1</v>
      </c>
      <c r="F130" t="n">
        <v>3</v>
      </c>
      <c r="G130" t="n">
        <v>0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1</v>
      </c>
      <c r="F131" t="n">
        <v>3</v>
      </c>
      <c r="G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2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2</v>
      </c>
      <c r="G133" t="n">
        <v>2</v>
      </c>
    </row>
    <row r="134">
      <c r="A134" t="n">
        <v>0</v>
      </c>
      <c r="B134" t="n">
        <v>0</v>
      </c>
      <c r="C134" t="n">
        <v>0</v>
      </c>
      <c r="D134" t="n">
        <v>1</v>
      </c>
      <c r="E134" t="n">
        <v>0</v>
      </c>
      <c r="F134" t="n">
        <v>2</v>
      </c>
      <c r="G134" t="n">
        <v>2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0</v>
      </c>
      <c r="F135" t="n">
        <v>2</v>
      </c>
      <c r="G135" t="n">
        <v>2</v>
      </c>
    </row>
    <row r="136">
      <c r="A136" t="n">
        <v>0</v>
      </c>
      <c r="B136" t="n">
        <v>1</v>
      </c>
      <c r="C136" t="n">
        <v>1</v>
      </c>
      <c r="D136" t="n">
        <v>1</v>
      </c>
      <c r="E136" t="n">
        <v>1</v>
      </c>
      <c r="F136" t="n">
        <v>3</v>
      </c>
      <c r="G136" t="n">
        <v>2</v>
      </c>
    </row>
    <row r="137">
      <c r="A137" t="n">
        <v>1</v>
      </c>
      <c r="B137" t="n">
        <v>1</v>
      </c>
      <c r="C137" t="n">
        <v>0</v>
      </c>
      <c r="D137" t="n">
        <v>1</v>
      </c>
      <c r="E137" t="n">
        <v>0</v>
      </c>
      <c r="F137" t="n">
        <v>2</v>
      </c>
      <c r="G137" t="n">
        <v>2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1</v>
      </c>
      <c r="F138" t="n">
        <v>3</v>
      </c>
      <c r="G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0</v>
      </c>
      <c r="F139" t="n">
        <v>2</v>
      </c>
      <c r="G139" t="n">
        <v>2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2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3</v>
      </c>
      <c r="G141" t="n">
        <v>2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1</v>
      </c>
      <c r="G142" t="n">
        <v>2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2</v>
      </c>
      <c r="G143" t="n">
        <v>2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0</v>
      </c>
      <c r="F144" t="n">
        <v>2</v>
      </c>
      <c r="G144" t="n">
        <v>0</v>
      </c>
    </row>
    <row r="145">
      <c r="A145" t="n">
        <v>0</v>
      </c>
      <c r="B145" t="n">
        <v>1</v>
      </c>
      <c r="C145" t="n">
        <v>1</v>
      </c>
      <c r="D145" t="n">
        <v>1</v>
      </c>
      <c r="E145" t="n">
        <v>1</v>
      </c>
      <c r="F145" t="n">
        <v>3</v>
      </c>
      <c r="G145" t="n">
        <v>2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2</v>
      </c>
      <c r="G146" t="n">
        <v>2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3</v>
      </c>
      <c r="G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2</v>
      </c>
      <c r="G148" t="n">
        <v>0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3</v>
      </c>
      <c r="G149" t="n">
        <v>2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2</v>
      </c>
      <c r="G150" t="n">
        <v>0</v>
      </c>
    </row>
    <row r="151">
      <c r="A151" t="n">
        <v>1</v>
      </c>
      <c r="B151" t="n">
        <v>0</v>
      </c>
      <c r="C151" t="n">
        <v>2</v>
      </c>
      <c r="D151" t="n">
        <v>1</v>
      </c>
      <c r="E151" t="n">
        <v>0</v>
      </c>
      <c r="F151" t="n">
        <v>2</v>
      </c>
      <c r="G151" t="n">
        <v>2</v>
      </c>
    </row>
    <row r="152">
      <c r="A152" t="n">
        <v>0</v>
      </c>
      <c r="B152" t="n">
        <v>0</v>
      </c>
      <c r="C152" t="n">
        <v>0</v>
      </c>
      <c r="D152" t="n">
        <v>1</v>
      </c>
      <c r="E152" t="n">
        <v>0</v>
      </c>
      <c r="F152" t="n">
        <v>2</v>
      </c>
      <c r="G152" t="n">
        <v>2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1</v>
      </c>
      <c r="F153" t="n">
        <v>3</v>
      </c>
      <c r="G153" t="n">
        <v>2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2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1</v>
      </c>
      <c r="F155" t="n">
        <v>3</v>
      </c>
      <c r="G155" t="n">
        <v>2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1</v>
      </c>
      <c r="F156" t="n">
        <v>3</v>
      </c>
      <c r="G156" t="n">
        <v>2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3</v>
      </c>
      <c r="G157" t="n">
        <v>2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2</v>
      </c>
      <c r="G158" t="n">
        <v>2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3</v>
      </c>
      <c r="G159" t="n">
        <v>2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1</v>
      </c>
      <c r="F160" t="n">
        <v>3</v>
      </c>
      <c r="G160" t="n">
        <v>0</v>
      </c>
    </row>
    <row r="161">
      <c r="A161" t="n">
        <v>0</v>
      </c>
      <c r="B161" t="n">
        <v>1</v>
      </c>
      <c r="C161" t="n">
        <v>1</v>
      </c>
      <c r="D161" t="n">
        <v>1</v>
      </c>
      <c r="E161" t="n">
        <v>1</v>
      </c>
      <c r="F161" t="n">
        <v>3</v>
      </c>
      <c r="G161" t="n">
        <v>0</v>
      </c>
    </row>
    <row r="162">
      <c r="A162" t="n">
        <v>0</v>
      </c>
      <c r="B162" t="n">
        <v>1</v>
      </c>
      <c r="C162" t="n">
        <v>1</v>
      </c>
      <c r="D162" t="n">
        <v>1</v>
      </c>
      <c r="E162" t="n">
        <v>0</v>
      </c>
      <c r="F162" t="n">
        <v>2</v>
      </c>
      <c r="G162" t="n">
        <v>2</v>
      </c>
    </row>
    <row r="163">
      <c r="A163" t="n">
        <v>1</v>
      </c>
      <c r="B163" t="n">
        <v>1</v>
      </c>
      <c r="C163" t="n">
        <v>0</v>
      </c>
      <c r="D163" t="n">
        <v>1</v>
      </c>
      <c r="E163" t="n">
        <v>1</v>
      </c>
      <c r="F163" t="n">
        <v>3</v>
      </c>
      <c r="G163" t="n">
        <v>2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0</v>
      </c>
      <c r="F164" t="n">
        <v>2</v>
      </c>
      <c r="G164" t="n">
        <v>0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3</v>
      </c>
      <c r="G165" t="n">
        <v>2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3</v>
      </c>
      <c r="G166" t="n">
        <v>2</v>
      </c>
    </row>
    <row r="167">
      <c r="A167" t="n">
        <v>1</v>
      </c>
      <c r="B167" t="n">
        <v>0</v>
      </c>
      <c r="C167" t="n">
        <v>2</v>
      </c>
      <c r="D167" t="n">
        <v>1</v>
      </c>
      <c r="E167" t="n">
        <v>1</v>
      </c>
      <c r="F167" t="n">
        <v>3</v>
      </c>
      <c r="G167" t="n">
        <v>2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2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2</v>
      </c>
      <c r="G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2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2</v>
      </c>
      <c r="G171" t="n">
        <v>2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2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1</v>
      </c>
      <c r="F173" t="n">
        <v>3</v>
      </c>
      <c r="G173" t="n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2</v>
      </c>
      <c r="G174" t="n">
        <v>2</v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2</v>
      </c>
      <c r="G175" t="n">
        <v>2</v>
      </c>
    </row>
    <row r="176">
      <c r="A176" t="n">
        <v>0</v>
      </c>
      <c r="B176" t="n">
        <v>0</v>
      </c>
      <c r="C176" t="n">
        <v>0</v>
      </c>
      <c r="D176" t="n">
        <v>1</v>
      </c>
      <c r="E176" t="n">
        <v>1</v>
      </c>
      <c r="F176" t="n">
        <v>3</v>
      </c>
      <c r="G176" t="n">
        <v>2</v>
      </c>
    </row>
    <row r="177">
      <c r="A177" t="n">
        <v>0</v>
      </c>
      <c r="B177" t="n">
        <v>1</v>
      </c>
      <c r="C177" t="n">
        <v>1</v>
      </c>
      <c r="D177" t="n">
        <v>1</v>
      </c>
      <c r="E177" t="n">
        <v>1</v>
      </c>
      <c r="F177" t="n">
        <v>3</v>
      </c>
      <c r="G177" t="n">
        <v>2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1</v>
      </c>
      <c r="F178" t="n">
        <v>3</v>
      </c>
      <c r="G178" t="n">
        <v>0</v>
      </c>
    </row>
    <row r="179">
      <c r="A179" t="n">
        <v>1</v>
      </c>
      <c r="B179" t="n">
        <v>0</v>
      </c>
      <c r="C179" t="n">
        <v>2</v>
      </c>
      <c r="D179" t="n">
        <v>1</v>
      </c>
      <c r="E179" t="n">
        <v>1</v>
      </c>
      <c r="F179" t="n">
        <v>3</v>
      </c>
      <c r="G179" t="n">
        <v>2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0</v>
      </c>
      <c r="F180" t="n">
        <v>2</v>
      </c>
      <c r="G180" t="n">
        <v>2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3</v>
      </c>
      <c r="G181" t="n">
        <v>2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2</v>
      </c>
      <c r="G182" t="n">
        <v>2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3</v>
      </c>
      <c r="G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1</v>
      </c>
      <c r="F184" t="n">
        <v>3</v>
      </c>
      <c r="G184" t="n">
        <v>2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0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1</v>
      </c>
      <c r="F186" t="n">
        <v>3</v>
      </c>
      <c r="G186" t="n">
        <v>2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1</v>
      </c>
      <c r="F188" t="n">
        <v>3</v>
      </c>
      <c r="G188" t="n">
        <v>2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0</v>
      </c>
      <c r="F189" t="n">
        <v>2</v>
      </c>
      <c r="G189" t="n">
        <v>2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3</v>
      </c>
      <c r="G190" t="n">
        <v>2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1</v>
      </c>
      <c r="F191" t="n">
        <v>3</v>
      </c>
      <c r="G191" t="n">
        <v>2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2</v>
      </c>
      <c r="G192" t="n">
        <v>2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2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2</v>
      </c>
    </row>
    <row r="195">
      <c r="A195" t="n">
        <v>1</v>
      </c>
      <c r="B195" t="n">
        <v>0</v>
      </c>
      <c r="C195" t="n">
        <v>2</v>
      </c>
      <c r="D195" t="n">
        <v>0</v>
      </c>
      <c r="E195" t="n">
        <v>1</v>
      </c>
      <c r="F195" t="n">
        <v>1</v>
      </c>
      <c r="G195" t="n">
        <v>2</v>
      </c>
    </row>
    <row r="196">
      <c r="A196" t="n">
        <v>0</v>
      </c>
      <c r="B196" t="n">
        <v>0</v>
      </c>
      <c r="C196" t="n">
        <v>0</v>
      </c>
      <c r="D196" t="n">
        <v>1</v>
      </c>
      <c r="E196" t="n">
        <v>0</v>
      </c>
      <c r="F196" t="n">
        <v>2</v>
      </c>
      <c r="G196" t="n">
        <v>2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3</v>
      </c>
      <c r="G197" t="n">
        <v>2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2</v>
      </c>
      <c r="G198" t="n">
        <v>2</v>
      </c>
    </row>
    <row r="199">
      <c r="A199" t="n">
        <v>0</v>
      </c>
      <c r="B199" t="n">
        <v>1</v>
      </c>
      <c r="C199" t="n">
        <v>1</v>
      </c>
      <c r="D199" t="n">
        <v>0</v>
      </c>
      <c r="E199" t="n">
        <v>1</v>
      </c>
      <c r="F199" t="n">
        <v>1</v>
      </c>
      <c r="G199" t="n">
        <v>2</v>
      </c>
    </row>
    <row r="200">
      <c r="A200" t="n">
        <v>0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3</v>
      </c>
      <c r="G201" t="n">
        <v>2</v>
      </c>
    </row>
    <row r="202">
      <c r="A202" t="n">
        <v>1</v>
      </c>
      <c r="B202" t="n">
        <v>0</v>
      </c>
      <c r="C202" t="n">
        <v>2</v>
      </c>
      <c r="D202" t="n">
        <v>1</v>
      </c>
      <c r="E202" t="n">
        <v>0</v>
      </c>
      <c r="F202" t="n">
        <v>2</v>
      </c>
      <c r="G202" t="n">
        <v>0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1</v>
      </c>
      <c r="F203" t="n">
        <v>3</v>
      </c>
      <c r="G203" t="n">
        <v>2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1</v>
      </c>
      <c r="F204" t="n">
        <v>3</v>
      </c>
      <c r="G204" t="n">
        <v>2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1</v>
      </c>
      <c r="F205" t="n">
        <v>3</v>
      </c>
      <c r="G205" t="n">
        <v>2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2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2</v>
      </c>
      <c r="G207" t="n">
        <v>2</v>
      </c>
    </row>
    <row r="208">
      <c r="A208" t="n">
        <v>1</v>
      </c>
      <c r="B208" t="n">
        <v>0</v>
      </c>
      <c r="C208" t="n">
        <v>2</v>
      </c>
      <c r="D208" t="n">
        <v>1</v>
      </c>
      <c r="E208" t="n">
        <v>0</v>
      </c>
      <c r="F208" t="n">
        <v>2</v>
      </c>
      <c r="G208" t="n">
        <v>2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0</v>
      </c>
      <c r="F209" t="n">
        <v>2</v>
      </c>
      <c r="G209" t="n">
        <v>2</v>
      </c>
    </row>
    <row r="210">
      <c r="A210" t="n">
        <v>1</v>
      </c>
      <c r="B210" t="n">
        <v>0</v>
      </c>
      <c r="C210" t="n">
        <v>2</v>
      </c>
      <c r="D210" t="n">
        <v>1</v>
      </c>
      <c r="E210" t="n">
        <v>0</v>
      </c>
      <c r="F210" t="n">
        <v>2</v>
      </c>
      <c r="G210" t="n">
        <v>0</v>
      </c>
    </row>
    <row r="211">
      <c r="A211" t="n">
        <v>0</v>
      </c>
      <c r="B211" t="n">
        <v>0</v>
      </c>
      <c r="C211" t="n">
        <v>0</v>
      </c>
      <c r="D211" t="n">
        <v>1</v>
      </c>
      <c r="E211" t="n">
        <v>1</v>
      </c>
      <c r="F211" t="n">
        <v>3</v>
      </c>
      <c r="G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1</v>
      </c>
      <c r="F212" t="n">
        <v>3</v>
      </c>
      <c r="G212" t="n">
        <v>2</v>
      </c>
    </row>
    <row r="213">
      <c r="A213" t="n">
        <v>1</v>
      </c>
      <c r="B213" t="n">
        <v>1</v>
      </c>
      <c r="C213" t="n">
        <v>0</v>
      </c>
      <c r="D213" t="n">
        <v>1</v>
      </c>
      <c r="E213" t="n">
        <v>0</v>
      </c>
      <c r="F213" t="n">
        <v>2</v>
      </c>
      <c r="G213" t="n">
        <v>2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1</v>
      </c>
      <c r="F214" t="n">
        <v>3</v>
      </c>
      <c r="G214" t="n">
        <v>2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2</v>
      </c>
      <c r="G215" t="n">
        <v>0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0</v>
      </c>
      <c r="F216" t="n">
        <v>2</v>
      </c>
      <c r="G216" t="n">
        <v>2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1</v>
      </c>
      <c r="F217" t="n">
        <v>3</v>
      </c>
      <c r="G217" t="n">
        <v>2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3</v>
      </c>
      <c r="G218" t="n">
        <v>2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0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0</v>
      </c>
      <c r="F220" t="n">
        <v>2</v>
      </c>
      <c r="G220" t="n">
        <v>2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2</v>
      </c>
      <c r="G221" t="n">
        <v>2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2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2</v>
      </c>
      <c r="G223" t="n">
        <v>2</v>
      </c>
    </row>
    <row r="224">
      <c r="A224" t="n">
        <v>1</v>
      </c>
      <c r="B224" t="n">
        <v>0</v>
      </c>
      <c r="C224" t="n">
        <v>2</v>
      </c>
      <c r="D224" t="n">
        <v>1</v>
      </c>
      <c r="E224" t="n">
        <v>0</v>
      </c>
      <c r="F224" t="n">
        <v>2</v>
      </c>
      <c r="G224" t="n">
        <v>2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2</v>
      </c>
      <c r="G225" t="n">
        <v>0</v>
      </c>
    </row>
    <row r="226">
      <c r="A226" t="n">
        <v>0</v>
      </c>
      <c r="B226" t="n">
        <v>0</v>
      </c>
      <c r="C226" t="n">
        <v>0</v>
      </c>
      <c r="D226" t="n">
        <v>1</v>
      </c>
      <c r="E226" t="n">
        <v>1</v>
      </c>
      <c r="F226" t="n">
        <v>3</v>
      </c>
      <c r="G226" t="n">
        <v>2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2</v>
      </c>
      <c r="G227" t="n">
        <v>2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2</v>
      </c>
    </row>
    <row r="229">
      <c r="A229" t="n">
        <v>0</v>
      </c>
      <c r="B229" t="n">
        <v>0</v>
      </c>
      <c r="C229" t="n">
        <v>0</v>
      </c>
      <c r="D229" t="n">
        <v>1</v>
      </c>
      <c r="E229" t="n">
        <v>1</v>
      </c>
      <c r="F229" t="n">
        <v>3</v>
      </c>
      <c r="G229" t="n">
        <v>2</v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0</v>
      </c>
      <c r="F230" t="n">
        <v>2</v>
      </c>
      <c r="G230" t="n">
        <v>2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2</v>
      </c>
      <c r="G231" t="n">
        <v>0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3</v>
      </c>
      <c r="G232" t="n">
        <v>0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1</v>
      </c>
      <c r="F233" t="n">
        <v>3</v>
      </c>
      <c r="G233" t="n">
        <v>2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2</v>
      </c>
      <c r="G234" t="n">
        <v>2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0</v>
      </c>
      <c r="F236" t="n">
        <v>2</v>
      </c>
      <c r="G236" t="n">
        <v>2</v>
      </c>
    </row>
    <row r="237">
      <c r="A237" t="n">
        <v>0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2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0</v>
      </c>
      <c r="F238" t="n">
        <v>2</v>
      </c>
      <c r="G238" t="n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1</v>
      </c>
      <c r="F239" t="n">
        <v>3</v>
      </c>
      <c r="G239" t="n">
        <v>2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3</v>
      </c>
      <c r="G240" t="n">
        <v>2</v>
      </c>
    </row>
    <row r="241">
      <c r="A241" t="n">
        <v>1</v>
      </c>
      <c r="B241" t="n">
        <v>1</v>
      </c>
      <c r="C241" t="n">
        <v>0</v>
      </c>
      <c r="D241" t="n">
        <v>1</v>
      </c>
      <c r="E241" t="n">
        <v>0</v>
      </c>
      <c r="F241" t="n">
        <v>2</v>
      </c>
      <c r="G241" t="n">
        <v>2</v>
      </c>
    </row>
    <row r="242">
      <c r="A242" t="n">
        <v>0</v>
      </c>
      <c r="B242" t="n">
        <v>0</v>
      </c>
      <c r="C242" t="n">
        <v>0</v>
      </c>
      <c r="D242" t="n">
        <v>1</v>
      </c>
      <c r="E242" t="n">
        <v>0</v>
      </c>
      <c r="F242" t="n">
        <v>2</v>
      </c>
      <c r="G242" t="n">
        <v>2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1</v>
      </c>
      <c r="F243" t="n">
        <v>3</v>
      </c>
      <c r="G243" t="n">
        <v>2</v>
      </c>
    </row>
    <row r="244">
      <c r="A244" t="n">
        <v>1</v>
      </c>
      <c r="B244" t="n">
        <v>0</v>
      </c>
      <c r="C244" t="n">
        <v>2</v>
      </c>
      <c r="D244" t="n">
        <v>1</v>
      </c>
      <c r="E244" t="n">
        <v>0</v>
      </c>
      <c r="F244" t="n">
        <v>2</v>
      </c>
      <c r="G244" t="n">
        <v>2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2</v>
      </c>
      <c r="G245" t="n">
        <v>2</v>
      </c>
    </row>
    <row r="246">
      <c r="A246" t="n">
        <v>0</v>
      </c>
      <c r="B246" t="n">
        <v>0</v>
      </c>
      <c r="C246" t="n">
        <v>0</v>
      </c>
      <c r="D246" t="n">
        <v>1</v>
      </c>
      <c r="E246" t="n">
        <v>1</v>
      </c>
      <c r="F246" t="n">
        <v>3</v>
      </c>
      <c r="G246" t="n">
        <v>2</v>
      </c>
    </row>
    <row r="247">
      <c r="A247" t="n">
        <v>0</v>
      </c>
      <c r="B247" t="n">
        <v>1</v>
      </c>
      <c r="C247" t="n">
        <v>1</v>
      </c>
      <c r="D247" t="n">
        <v>1</v>
      </c>
      <c r="E247" t="n">
        <v>0</v>
      </c>
      <c r="F247" t="n">
        <v>2</v>
      </c>
      <c r="G247" t="n">
        <v>2</v>
      </c>
    </row>
    <row r="248">
      <c r="A248" t="n">
        <v>0</v>
      </c>
      <c r="B248" t="n">
        <v>1</v>
      </c>
      <c r="C248" t="n">
        <v>1</v>
      </c>
      <c r="D248" t="n">
        <v>1</v>
      </c>
      <c r="E248" t="n">
        <v>1</v>
      </c>
      <c r="F248" t="n">
        <v>3</v>
      </c>
      <c r="G248" t="n">
        <v>2</v>
      </c>
    </row>
    <row r="249">
      <c r="A249" t="n">
        <v>0</v>
      </c>
      <c r="B249" t="n">
        <v>0</v>
      </c>
      <c r="C249" t="n">
        <v>0</v>
      </c>
      <c r="D249" t="n">
        <v>1</v>
      </c>
      <c r="E249" t="n">
        <v>0</v>
      </c>
      <c r="F249" t="n">
        <v>2</v>
      </c>
      <c r="G249" t="n">
        <v>2</v>
      </c>
    </row>
    <row r="250">
      <c r="A250" t="n">
        <v>1</v>
      </c>
      <c r="B250" t="n">
        <v>0</v>
      </c>
      <c r="C250" t="n">
        <v>2</v>
      </c>
      <c r="D250" t="n">
        <v>1</v>
      </c>
      <c r="E250" t="n">
        <v>1</v>
      </c>
      <c r="F250" t="n">
        <v>3</v>
      </c>
      <c r="G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2</v>
      </c>
      <c r="G251" t="n">
        <v>2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3</v>
      </c>
      <c r="G252" t="n">
        <v>2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1</v>
      </c>
      <c r="F253" t="n">
        <v>3</v>
      </c>
      <c r="G253" t="n">
        <v>2</v>
      </c>
    </row>
    <row r="254">
      <c r="A254" t="n">
        <v>1</v>
      </c>
      <c r="B254" t="n">
        <v>1</v>
      </c>
      <c r="C254" t="n">
        <v>0</v>
      </c>
      <c r="D254" t="n">
        <v>1</v>
      </c>
      <c r="E254" t="n">
        <v>1</v>
      </c>
      <c r="F254" t="n">
        <v>3</v>
      </c>
      <c r="G254" t="n">
        <v>2</v>
      </c>
    </row>
    <row r="255">
      <c r="A255" t="n">
        <v>0</v>
      </c>
      <c r="B255" t="n">
        <v>1</v>
      </c>
      <c r="C255" t="n">
        <v>1</v>
      </c>
      <c r="D255" t="n">
        <v>1</v>
      </c>
      <c r="E255" t="n">
        <v>0</v>
      </c>
      <c r="F255" t="n">
        <v>2</v>
      </c>
      <c r="G255" t="n">
        <v>2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3</v>
      </c>
      <c r="G256" t="n">
        <v>2</v>
      </c>
    </row>
    <row r="257">
      <c r="A257" t="n">
        <v>1</v>
      </c>
      <c r="B257" t="n">
        <v>1</v>
      </c>
      <c r="C257" t="n">
        <v>0</v>
      </c>
      <c r="D257" t="n">
        <v>1</v>
      </c>
      <c r="E257" t="n">
        <v>1</v>
      </c>
      <c r="F257" t="n">
        <v>3</v>
      </c>
      <c r="G257" t="n">
        <v>2</v>
      </c>
    </row>
    <row r="258">
      <c r="A258" t="n">
        <v>0</v>
      </c>
      <c r="B258" t="n">
        <v>1</v>
      </c>
      <c r="C258" t="n">
        <v>1</v>
      </c>
      <c r="D258" t="n">
        <v>0</v>
      </c>
      <c r="E258" t="n">
        <v>1</v>
      </c>
      <c r="F258" t="n">
        <v>1</v>
      </c>
      <c r="G258" t="n">
        <v>2</v>
      </c>
    </row>
    <row r="259">
      <c r="A259" t="n">
        <v>0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2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0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3</v>
      </c>
      <c r="G261" t="n">
        <v>2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3</v>
      </c>
      <c r="G262" t="n">
        <v>2</v>
      </c>
    </row>
    <row r="263">
      <c r="A263" t="n">
        <v>1</v>
      </c>
      <c r="B263" t="n">
        <v>0</v>
      </c>
      <c r="C263" t="n">
        <v>2</v>
      </c>
      <c r="D263" t="n">
        <v>0</v>
      </c>
      <c r="E263" t="n">
        <v>1</v>
      </c>
      <c r="F263" t="n">
        <v>1</v>
      </c>
      <c r="G263" t="n">
        <v>2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0</v>
      </c>
      <c r="F264" t="n">
        <v>2</v>
      </c>
      <c r="G264" t="n">
        <v>0</v>
      </c>
    </row>
    <row r="265">
      <c r="A265" t="n">
        <v>0</v>
      </c>
      <c r="B265" t="n">
        <v>0</v>
      </c>
      <c r="C265" t="n">
        <v>0</v>
      </c>
      <c r="D265" t="n">
        <v>1</v>
      </c>
      <c r="E265" t="n">
        <v>0</v>
      </c>
      <c r="F265" t="n">
        <v>2</v>
      </c>
      <c r="G265" t="n">
        <v>2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2</v>
      </c>
      <c r="G266" t="n">
        <v>2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2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2</v>
      </c>
    </row>
    <row r="269">
      <c r="A269" t="n">
        <v>1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2</v>
      </c>
    </row>
    <row r="270">
      <c r="A270" t="n">
        <v>0</v>
      </c>
      <c r="B270" t="n">
        <v>0</v>
      </c>
      <c r="C270" t="n">
        <v>0</v>
      </c>
      <c r="D270" t="n">
        <v>1</v>
      </c>
      <c r="E270" t="n">
        <v>1</v>
      </c>
      <c r="F270" t="n">
        <v>3</v>
      </c>
      <c r="G270" t="n">
        <v>2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0</v>
      </c>
      <c r="F271" t="n">
        <v>2</v>
      </c>
      <c r="G271" t="n">
        <v>0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2</v>
      </c>
    </row>
    <row r="273">
      <c r="A273" t="n">
        <v>0</v>
      </c>
      <c r="B273" t="n">
        <v>1</v>
      </c>
      <c r="C273" t="n">
        <v>1</v>
      </c>
      <c r="D273" t="n">
        <v>1</v>
      </c>
      <c r="E273" t="n">
        <v>1</v>
      </c>
      <c r="F273" t="n">
        <v>3</v>
      </c>
      <c r="G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1</v>
      </c>
      <c r="F274" t="n">
        <v>3</v>
      </c>
      <c r="G274" t="n">
        <v>2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3</v>
      </c>
      <c r="G275" t="n">
        <v>2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2</v>
      </c>
      <c r="G276" t="n">
        <v>2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0</v>
      </c>
      <c r="F277" t="n">
        <v>2</v>
      </c>
      <c r="G277" t="n">
        <v>0</v>
      </c>
    </row>
    <row r="278">
      <c r="A278" t="n">
        <v>1</v>
      </c>
      <c r="B278" t="n">
        <v>0</v>
      </c>
      <c r="C278" t="n">
        <v>2</v>
      </c>
      <c r="D278" t="n">
        <v>0</v>
      </c>
      <c r="E278" t="n">
        <v>1</v>
      </c>
      <c r="F278" t="n">
        <v>1</v>
      </c>
      <c r="G278" t="n">
        <v>2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2</v>
      </c>
      <c r="G279" t="n">
        <v>2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1</v>
      </c>
      <c r="F280" t="n">
        <v>3</v>
      </c>
      <c r="G280" t="n">
        <v>0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3</v>
      </c>
      <c r="G281" t="n">
        <v>0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3</v>
      </c>
      <c r="G282" t="n">
        <v>2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1</v>
      </c>
      <c r="F283" t="n">
        <v>3</v>
      </c>
      <c r="G283" t="n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3</v>
      </c>
      <c r="G284" t="n">
        <v>2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1</v>
      </c>
      <c r="F285" t="n">
        <v>1</v>
      </c>
      <c r="G285" t="n">
        <v>2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3</v>
      </c>
      <c r="G286" t="n">
        <v>2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3</v>
      </c>
      <c r="G287" t="n">
        <v>0</v>
      </c>
    </row>
    <row r="288">
      <c r="A288" t="n">
        <v>0</v>
      </c>
      <c r="B288" t="n">
        <v>0</v>
      </c>
      <c r="C288" t="n">
        <v>0</v>
      </c>
      <c r="D288" t="n">
        <v>1</v>
      </c>
      <c r="E288" t="n">
        <v>1</v>
      </c>
      <c r="F288" t="n">
        <v>3</v>
      </c>
      <c r="G288" t="n">
        <v>2</v>
      </c>
    </row>
    <row r="289">
      <c r="A289" t="n">
        <v>1</v>
      </c>
      <c r="B289" t="n">
        <v>0</v>
      </c>
      <c r="C289" t="n">
        <v>2</v>
      </c>
      <c r="D289" t="n">
        <v>1</v>
      </c>
      <c r="E289" t="n">
        <v>1</v>
      </c>
      <c r="F289" t="n">
        <v>3</v>
      </c>
      <c r="G289" t="n">
        <v>2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1</v>
      </c>
      <c r="F290" t="n">
        <v>3</v>
      </c>
      <c r="G290" t="n">
        <v>2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2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3</v>
      </c>
      <c r="G292" t="n">
        <v>2</v>
      </c>
    </row>
    <row r="293">
      <c r="A293" t="n">
        <v>0</v>
      </c>
      <c r="B293" t="n">
        <v>0</v>
      </c>
      <c r="C293" t="n">
        <v>0</v>
      </c>
      <c r="D293" t="n">
        <v>1</v>
      </c>
      <c r="E293" t="n">
        <v>0</v>
      </c>
      <c r="F293" t="n">
        <v>2</v>
      </c>
      <c r="G293" t="n">
        <v>2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3</v>
      </c>
      <c r="G294" t="n">
        <v>2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0</v>
      </c>
      <c r="F295" t="n">
        <v>2</v>
      </c>
      <c r="G295" t="n">
        <v>0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2</v>
      </c>
      <c r="G296" t="n">
        <v>2</v>
      </c>
    </row>
    <row r="297">
      <c r="A297" t="n">
        <v>1</v>
      </c>
      <c r="B297" t="n">
        <v>0</v>
      </c>
      <c r="C297" t="n">
        <v>2</v>
      </c>
      <c r="D297" t="n">
        <v>1</v>
      </c>
      <c r="E297" t="n">
        <v>1</v>
      </c>
      <c r="F297" t="n">
        <v>3</v>
      </c>
      <c r="G297" t="n">
        <v>2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0</v>
      </c>
      <c r="F298" t="n">
        <v>2</v>
      </c>
      <c r="G298" t="n">
        <v>2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2</v>
      </c>
      <c r="G299" t="n">
        <v>2</v>
      </c>
    </row>
    <row r="300">
      <c r="A300" t="n">
        <v>0</v>
      </c>
      <c r="B300" t="n">
        <v>0</v>
      </c>
      <c r="C300" t="n">
        <v>0</v>
      </c>
      <c r="D300" t="n">
        <v>1</v>
      </c>
      <c r="E300" t="n">
        <v>1</v>
      </c>
      <c r="F300" t="n">
        <v>3</v>
      </c>
      <c r="G300" t="n">
        <v>2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1</v>
      </c>
      <c r="F301" t="n">
        <v>3</v>
      </c>
      <c r="G301" t="n">
        <v>2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2</v>
      </c>
      <c r="G302" t="n">
        <v>0</v>
      </c>
    </row>
    <row r="303">
      <c r="A303" t="n">
        <v>0</v>
      </c>
      <c r="B303" t="n">
        <v>1</v>
      </c>
      <c r="C303" t="n">
        <v>1</v>
      </c>
      <c r="D303" t="n">
        <v>1</v>
      </c>
      <c r="E303" t="n">
        <v>1</v>
      </c>
      <c r="F303" t="n">
        <v>3</v>
      </c>
      <c r="G303" t="n">
        <v>2</v>
      </c>
    </row>
    <row r="304">
      <c r="A304" t="n">
        <v>1</v>
      </c>
      <c r="B304" t="n">
        <v>0</v>
      </c>
      <c r="C304" t="n">
        <v>2</v>
      </c>
      <c r="D304" t="n">
        <v>1</v>
      </c>
      <c r="E304" t="n">
        <v>1</v>
      </c>
      <c r="F304" t="n">
        <v>3</v>
      </c>
      <c r="G304" t="n">
        <v>2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3</v>
      </c>
      <c r="G305" t="n">
        <v>2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2</v>
      </c>
    </row>
    <row r="307">
      <c r="A307" t="n">
        <v>1</v>
      </c>
      <c r="B307" t="n">
        <v>0</v>
      </c>
      <c r="C307" t="n">
        <v>2</v>
      </c>
      <c r="D307" t="n">
        <v>0</v>
      </c>
      <c r="E307" t="n">
        <v>1</v>
      </c>
      <c r="F307" t="n">
        <v>1</v>
      </c>
      <c r="G307" t="n">
        <v>2</v>
      </c>
    </row>
    <row r="308">
      <c r="A308" t="n">
        <v>1</v>
      </c>
      <c r="B308" t="n">
        <v>0</v>
      </c>
      <c r="C308" t="n">
        <v>2</v>
      </c>
      <c r="D308" t="n">
        <v>1</v>
      </c>
      <c r="E308" t="n">
        <v>1</v>
      </c>
      <c r="F308" t="n">
        <v>3</v>
      </c>
      <c r="G308" t="n">
        <v>0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0</v>
      </c>
      <c r="F309" t="n">
        <v>2</v>
      </c>
      <c r="G309" t="n">
        <v>2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3</v>
      </c>
      <c r="G310" t="n">
        <v>2</v>
      </c>
    </row>
    <row r="311">
      <c r="A311" t="n">
        <v>1</v>
      </c>
      <c r="B311" t="n">
        <v>0</v>
      </c>
      <c r="C311" t="n">
        <v>2</v>
      </c>
      <c r="D311" t="n">
        <v>0</v>
      </c>
      <c r="E311" t="n">
        <v>0</v>
      </c>
      <c r="F311" t="n">
        <v>0</v>
      </c>
      <c r="G311" t="n">
        <v>2</v>
      </c>
    </row>
    <row r="312">
      <c r="A312" t="n">
        <v>0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2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2</v>
      </c>
    </row>
    <row r="314">
      <c r="A314" t="n">
        <v>1</v>
      </c>
      <c r="B314" t="n">
        <v>0</v>
      </c>
      <c r="C314" t="n">
        <v>2</v>
      </c>
      <c r="D314" t="n">
        <v>1</v>
      </c>
      <c r="E314" t="n">
        <v>0</v>
      </c>
      <c r="F314" t="n">
        <v>2</v>
      </c>
      <c r="G314" t="n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3</v>
      </c>
      <c r="G315" t="n">
        <v>2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0</v>
      </c>
      <c r="F316" t="n">
        <v>2</v>
      </c>
      <c r="G316" t="n">
        <v>2</v>
      </c>
    </row>
    <row r="317">
      <c r="A317" t="n">
        <v>0</v>
      </c>
      <c r="B317" t="n">
        <v>0</v>
      </c>
      <c r="C317" t="n">
        <v>0</v>
      </c>
      <c r="D317" t="n">
        <v>1</v>
      </c>
      <c r="E317" t="n">
        <v>1</v>
      </c>
      <c r="F317" t="n">
        <v>3</v>
      </c>
      <c r="G317" t="n">
        <v>2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1</v>
      </c>
      <c r="F318" t="n">
        <v>3</v>
      </c>
      <c r="G318" t="n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2</v>
      </c>
      <c r="G319" t="n">
        <v>2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1</v>
      </c>
      <c r="F320" t="n">
        <v>3</v>
      </c>
      <c r="G320" t="n">
        <v>0</v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2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0</v>
      </c>
      <c r="F322" t="n">
        <v>2</v>
      </c>
      <c r="G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3</v>
      </c>
      <c r="G323" t="n">
        <v>2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2</v>
      </c>
      <c r="G324" t="n">
        <v>2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3</v>
      </c>
      <c r="G325" t="n">
        <v>2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2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3</v>
      </c>
      <c r="G327" t="n">
        <v>2</v>
      </c>
    </row>
    <row r="328">
      <c r="A328" t="n">
        <v>1</v>
      </c>
      <c r="B328" t="n">
        <v>0</v>
      </c>
      <c r="C328" t="n">
        <v>2</v>
      </c>
      <c r="D328" t="n">
        <v>1</v>
      </c>
      <c r="E328" t="n">
        <v>0</v>
      </c>
      <c r="F328" t="n">
        <v>2</v>
      </c>
      <c r="G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2</v>
      </c>
      <c r="G329" t="n">
        <v>0</v>
      </c>
    </row>
    <row r="330">
      <c r="A330" t="n">
        <v>1</v>
      </c>
      <c r="B330" t="n">
        <v>1</v>
      </c>
      <c r="C330" t="n">
        <v>0</v>
      </c>
      <c r="D330" t="n">
        <v>1</v>
      </c>
      <c r="E330" t="n">
        <v>1</v>
      </c>
      <c r="F330" t="n">
        <v>3</v>
      </c>
      <c r="G330" t="n">
        <v>0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0</v>
      </c>
      <c r="F331" t="n">
        <v>2</v>
      </c>
      <c r="G331" t="n">
        <v>0</v>
      </c>
    </row>
    <row r="332">
      <c r="A332" t="n">
        <v>1</v>
      </c>
      <c r="B332" t="n">
        <v>0</v>
      </c>
      <c r="C332" t="n">
        <v>2</v>
      </c>
      <c r="D332" t="n">
        <v>1</v>
      </c>
      <c r="E332" t="n">
        <v>0</v>
      </c>
      <c r="F332" t="n">
        <v>2</v>
      </c>
      <c r="G332" t="n">
        <v>2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3</v>
      </c>
      <c r="G333" t="n">
        <v>2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1</v>
      </c>
      <c r="G334" t="n">
        <v>2</v>
      </c>
    </row>
    <row r="335">
      <c r="A335" t="n">
        <v>0</v>
      </c>
      <c r="B335" t="n">
        <v>1</v>
      </c>
      <c r="C335" t="n">
        <v>1</v>
      </c>
      <c r="D335" t="n">
        <v>1</v>
      </c>
      <c r="E335" t="n">
        <v>0</v>
      </c>
      <c r="F335" t="n">
        <v>2</v>
      </c>
      <c r="G335" t="n">
        <v>2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3</v>
      </c>
      <c r="G336" t="n">
        <v>2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2</v>
      </c>
    </row>
    <row r="338">
      <c r="A338" t="n">
        <v>0</v>
      </c>
      <c r="B338" t="n">
        <v>1</v>
      </c>
      <c r="C338" t="n">
        <v>1</v>
      </c>
      <c r="D338" t="n">
        <v>1</v>
      </c>
      <c r="E338" t="n">
        <v>1</v>
      </c>
      <c r="F338" t="n">
        <v>3</v>
      </c>
      <c r="G338" t="n">
        <v>2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3</v>
      </c>
      <c r="G339" t="n">
        <v>2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0</v>
      </c>
      <c r="F340" t="n">
        <v>2</v>
      </c>
      <c r="G340" t="n">
        <v>2</v>
      </c>
    </row>
    <row r="341">
      <c r="A341" t="n">
        <v>0</v>
      </c>
      <c r="B341" t="n">
        <v>1</v>
      </c>
      <c r="C341" t="n">
        <v>1</v>
      </c>
      <c r="D341" t="n">
        <v>1</v>
      </c>
      <c r="E341" t="n">
        <v>1</v>
      </c>
      <c r="F341" t="n">
        <v>3</v>
      </c>
      <c r="G341" t="n">
        <v>2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1</v>
      </c>
      <c r="F342" t="n">
        <v>3</v>
      </c>
      <c r="G342" t="n">
        <v>2</v>
      </c>
    </row>
    <row r="343">
      <c r="A343" t="n">
        <v>0</v>
      </c>
      <c r="B343" t="n">
        <v>1</v>
      </c>
      <c r="C343" t="n">
        <v>1</v>
      </c>
      <c r="D343" t="n">
        <v>1</v>
      </c>
      <c r="E343" t="n">
        <v>0</v>
      </c>
      <c r="F343" t="n">
        <v>2</v>
      </c>
      <c r="G343" t="n">
        <v>2</v>
      </c>
    </row>
    <row r="344">
      <c r="A344" t="n">
        <v>1</v>
      </c>
      <c r="B344" t="n">
        <v>1</v>
      </c>
      <c r="C344" t="n">
        <v>0</v>
      </c>
      <c r="D344" t="n">
        <v>1</v>
      </c>
      <c r="E344" t="n">
        <v>0</v>
      </c>
      <c r="F344" t="n">
        <v>2</v>
      </c>
      <c r="G344" t="n">
        <v>2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2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3</v>
      </c>
      <c r="G346" t="n">
        <v>2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2</v>
      </c>
      <c r="G347" t="n">
        <v>2</v>
      </c>
    </row>
    <row r="348">
      <c r="A348" t="n">
        <v>0</v>
      </c>
      <c r="B348" t="n">
        <v>0</v>
      </c>
      <c r="C348" t="n">
        <v>0</v>
      </c>
      <c r="D348" t="n">
        <v>1</v>
      </c>
      <c r="E348" t="n">
        <v>1</v>
      </c>
      <c r="F348" t="n">
        <v>3</v>
      </c>
      <c r="G348" t="n">
        <v>2</v>
      </c>
    </row>
    <row r="349">
      <c r="A349" t="n">
        <v>0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2</v>
      </c>
    </row>
    <row r="350">
      <c r="A350" t="n">
        <v>0</v>
      </c>
      <c r="B350" t="n">
        <v>0</v>
      </c>
      <c r="C350" t="n">
        <v>0</v>
      </c>
      <c r="D350" t="n">
        <v>1</v>
      </c>
      <c r="E350" t="n">
        <v>0</v>
      </c>
      <c r="F350" t="n">
        <v>2</v>
      </c>
      <c r="G350" t="n">
        <v>0</v>
      </c>
    </row>
    <row r="351">
      <c r="A351" t="n">
        <v>1</v>
      </c>
      <c r="B351" t="n">
        <v>0</v>
      </c>
      <c r="C351" t="n">
        <v>2</v>
      </c>
      <c r="D351" t="n">
        <v>1</v>
      </c>
      <c r="E351" t="n">
        <v>0</v>
      </c>
      <c r="F351" t="n">
        <v>2</v>
      </c>
      <c r="G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2</v>
      </c>
      <c r="G352" t="n">
        <v>2</v>
      </c>
    </row>
    <row r="353">
      <c r="A353" t="n">
        <v>1</v>
      </c>
      <c r="B353" t="n">
        <v>0</v>
      </c>
      <c r="C353" t="n">
        <v>2</v>
      </c>
      <c r="D353" t="n">
        <v>1</v>
      </c>
      <c r="E353" t="n">
        <v>1</v>
      </c>
      <c r="F353" t="n">
        <v>3</v>
      </c>
      <c r="G353" t="n">
        <v>0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2</v>
      </c>
      <c r="G354" t="n">
        <v>2</v>
      </c>
    </row>
    <row r="355">
      <c r="A355" t="n">
        <v>1</v>
      </c>
      <c r="B355" t="n">
        <v>1</v>
      </c>
      <c r="C355" t="n">
        <v>0</v>
      </c>
      <c r="D355" t="n">
        <v>1</v>
      </c>
      <c r="E355" t="n">
        <v>1</v>
      </c>
      <c r="F355" t="n">
        <v>3</v>
      </c>
      <c r="G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3</v>
      </c>
      <c r="G356" t="n">
        <v>2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2</v>
      </c>
      <c r="G357" t="n">
        <v>2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0</v>
      </c>
      <c r="F358" t="n">
        <v>2</v>
      </c>
      <c r="G358" t="n">
        <v>2</v>
      </c>
    </row>
    <row r="359">
      <c r="A359" t="n">
        <v>0</v>
      </c>
      <c r="B359" t="n">
        <v>0</v>
      </c>
      <c r="C359" t="n">
        <v>0</v>
      </c>
      <c r="D359" t="n">
        <v>1</v>
      </c>
      <c r="E359" t="n">
        <v>0</v>
      </c>
      <c r="F359" t="n">
        <v>2</v>
      </c>
      <c r="G359" t="n">
        <v>2</v>
      </c>
    </row>
    <row r="360">
      <c r="A360" t="n">
        <v>0</v>
      </c>
      <c r="B360" t="n">
        <v>1</v>
      </c>
      <c r="C360" t="n">
        <v>1</v>
      </c>
      <c r="D360" t="n">
        <v>1</v>
      </c>
      <c r="E360" t="n">
        <v>1</v>
      </c>
      <c r="F360" t="n">
        <v>3</v>
      </c>
      <c r="G360" t="n">
        <v>2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0</v>
      </c>
      <c r="F361" t="n">
        <v>2</v>
      </c>
      <c r="G361" t="n">
        <v>2</v>
      </c>
    </row>
    <row r="362">
      <c r="A362" t="n">
        <v>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2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2</v>
      </c>
      <c r="G363" t="n">
        <v>2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3</v>
      </c>
      <c r="G364" t="n">
        <v>2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1</v>
      </c>
      <c r="F365" t="n">
        <v>3</v>
      </c>
      <c r="G365" t="n">
        <v>2</v>
      </c>
    </row>
    <row r="366">
      <c r="A366" t="n">
        <v>0</v>
      </c>
      <c r="B366" t="n">
        <v>0</v>
      </c>
      <c r="C366" t="n">
        <v>0</v>
      </c>
      <c r="D366" t="n">
        <v>1</v>
      </c>
      <c r="E366" t="n">
        <v>0</v>
      </c>
      <c r="F366" t="n">
        <v>2</v>
      </c>
      <c r="G366" t="n">
        <v>0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2</v>
      </c>
      <c r="G367" t="n">
        <v>2</v>
      </c>
    </row>
    <row r="368">
      <c r="A368" t="n">
        <v>0</v>
      </c>
      <c r="B368" t="n">
        <v>0</v>
      </c>
      <c r="C368" t="n">
        <v>0</v>
      </c>
      <c r="D368" t="n">
        <v>1</v>
      </c>
      <c r="E368" t="n">
        <v>1</v>
      </c>
      <c r="F368" t="n">
        <v>3</v>
      </c>
      <c r="G368" t="n">
        <v>2</v>
      </c>
    </row>
    <row r="369">
      <c r="A369" t="n">
        <v>0</v>
      </c>
      <c r="B369" t="n">
        <v>0</v>
      </c>
      <c r="C369" t="n">
        <v>0</v>
      </c>
      <c r="D369" t="n">
        <v>1</v>
      </c>
      <c r="E369" t="n">
        <v>1</v>
      </c>
      <c r="F369" t="n">
        <v>3</v>
      </c>
      <c r="G369" t="n">
        <v>2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1</v>
      </c>
      <c r="F370" t="n">
        <v>3</v>
      </c>
      <c r="G370" t="n">
        <v>0</v>
      </c>
    </row>
    <row r="371">
      <c r="A371" t="n">
        <v>1</v>
      </c>
      <c r="B371" t="n">
        <v>0</v>
      </c>
      <c r="C371" t="n">
        <v>2</v>
      </c>
      <c r="D371" t="n">
        <v>1</v>
      </c>
      <c r="E371" t="n">
        <v>1</v>
      </c>
      <c r="F371" t="n">
        <v>3</v>
      </c>
      <c r="G371" t="n">
        <v>2</v>
      </c>
    </row>
    <row r="372">
      <c r="A372" t="n">
        <v>1</v>
      </c>
      <c r="B372" t="n">
        <v>1</v>
      </c>
      <c r="C372" t="n">
        <v>0</v>
      </c>
      <c r="D372" t="n">
        <v>1</v>
      </c>
      <c r="E372" t="n">
        <v>0</v>
      </c>
      <c r="F372" t="n">
        <v>2</v>
      </c>
      <c r="G372" t="n">
        <v>2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3</v>
      </c>
      <c r="G373" t="n">
        <v>2</v>
      </c>
    </row>
    <row r="374">
      <c r="A374" t="n">
        <v>0</v>
      </c>
      <c r="B374" t="n">
        <v>0</v>
      </c>
      <c r="C374" t="n">
        <v>0</v>
      </c>
      <c r="D374" t="n">
        <v>1</v>
      </c>
      <c r="E374" t="n">
        <v>0</v>
      </c>
      <c r="F374" t="n">
        <v>2</v>
      </c>
      <c r="G374" t="n">
        <v>2</v>
      </c>
    </row>
    <row r="375">
      <c r="A375" t="n">
        <v>0</v>
      </c>
      <c r="B375" t="n">
        <v>0</v>
      </c>
      <c r="C375" t="n">
        <v>0</v>
      </c>
      <c r="D375" t="n">
        <v>1</v>
      </c>
      <c r="E375" t="n">
        <v>0</v>
      </c>
      <c r="F375" t="n">
        <v>2</v>
      </c>
      <c r="G375" t="n">
        <v>2</v>
      </c>
    </row>
    <row r="376">
      <c r="A376" t="n">
        <v>0</v>
      </c>
      <c r="B376" t="n">
        <v>0</v>
      </c>
      <c r="C376" t="n">
        <v>0</v>
      </c>
      <c r="D376" t="n">
        <v>1</v>
      </c>
      <c r="E376" t="n">
        <v>1</v>
      </c>
      <c r="F376" t="n">
        <v>3</v>
      </c>
      <c r="G376" t="n">
        <v>0</v>
      </c>
    </row>
    <row r="377">
      <c r="A377" t="n">
        <v>0</v>
      </c>
      <c r="B377" t="n">
        <v>0</v>
      </c>
      <c r="C377" t="n">
        <v>0</v>
      </c>
      <c r="D377" t="n">
        <v>1</v>
      </c>
      <c r="E377" t="n">
        <v>0</v>
      </c>
      <c r="F377" t="n">
        <v>2</v>
      </c>
      <c r="G377" t="n">
        <v>2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2</v>
      </c>
      <c r="G378" t="n">
        <v>0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2</v>
      </c>
      <c r="G379" t="n">
        <v>2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0</v>
      </c>
      <c r="F380" t="n">
        <v>2</v>
      </c>
      <c r="G380" t="n">
        <v>2</v>
      </c>
    </row>
    <row r="381">
      <c r="A381" t="n">
        <v>1</v>
      </c>
      <c r="B381" t="n">
        <v>1</v>
      </c>
      <c r="C381" t="n">
        <v>0</v>
      </c>
      <c r="D381" t="n">
        <v>1</v>
      </c>
      <c r="E381" t="n">
        <v>1</v>
      </c>
      <c r="F381" t="n">
        <v>3</v>
      </c>
      <c r="G381" t="n">
        <v>2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0</v>
      </c>
      <c r="F382" t="n">
        <v>2</v>
      </c>
      <c r="G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0</v>
      </c>
      <c r="F383" t="n">
        <v>2</v>
      </c>
      <c r="G383" t="n">
        <v>2</v>
      </c>
    </row>
    <row r="384">
      <c r="A384" t="n">
        <v>1</v>
      </c>
      <c r="B384" t="n">
        <v>0</v>
      </c>
      <c r="C384" t="n">
        <v>2</v>
      </c>
      <c r="D384" t="n">
        <v>1</v>
      </c>
      <c r="E384" t="n">
        <v>0</v>
      </c>
      <c r="F384" t="n">
        <v>2</v>
      </c>
      <c r="G384" t="n">
        <v>2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2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3</v>
      </c>
      <c r="G386" t="n">
        <v>2</v>
      </c>
    </row>
    <row r="387">
      <c r="A387" t="n">
        <v>0</v>
      </c>
      <c r="B387" t="n">
        <v>0</v>
      </c>
      <c r="C387" t="n">
        <v>0</v>
      </c>
      <c r="D387" t="n">
        <v>1</v>
      </c>
      <c r="E387" t="n">
        <v>0</v>
      </c>
      <c r="F387" t="n">
        <v>2</v>
      </c>
      <c r="G387" t="n">
        <v>0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3</v>
      </c>
      <c r="G388" t="n">
        <v>2</v>
      </c>
    </row>
    <row r="389">
      <c r="A389" t="n">
        <v>1</v>
      </c>
      <c r="B389" t="n">
        <v>0</v>
      </c>
      <c r="C389" t="n">
        <v>2</v>
      </c>
      <c r="D389" t="n">
        <v>1</v>
      </c>
      <c r="E389" t="n">
        <v>0</v>
      </c>
      <c r="F389" t="n">
        <v>2</v>
      </c>
      <c r="G389" t="n">
        <v>2</v>
      </c>
    </row>
    <row r="390">
      <c r="A390" t="n">
        <v>1</v>
      </c>
      <c r="B390" t="n">
        <v>0</v>
      </c>
      <c r="C390" t="n">
        <v>2</v>
      </c>
      <c r="D390" t="n">
        <v>1</v>
      </c>
      <c r="E390" t="n">
        <v>1</v>
      </c>
      <c r="F390" t="n">
        <v>3</v>
      </c>
      <c r="G390" t="n">
        <v>0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2</v>
      </c>
      <c r="G391" t="n">
        <v>2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0</v>
      </c>
      <c r="F392" t="n">
        <v>2</v>
      </c>
      <c r="G392" t="n">
        <v>0</v>
      </c>
    </row>
    <row r="393">
      <c r="A393" t="n">
        <v>1</v>
      </c>
      <c r="B393" t="n">
        <v>0</v>
      </c>
      <c r="C393" t="n">
        <v>2</v>
      </c>
      <c r="D393" t="n">
        <v>1</v>
      </c>
      <c r="E393" t="n">
        <v>0</v>
      </c>
      <c r="F393" t="n">
        <v>2</v>
      </c>
      <c r="G393" t="n">
        <v>2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3</v>
      </c>
      <c r="G394" t="n">
        <v>0</v>
      </c>
    </row>
    <row r="395">
      <c r="A395" t="n">
        <v>0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2</v>
      </c>
    </row>
    <row r="396">
      <c r="A396" t="n">
        <v>0</v>
      </c>
      <c r="B396" t="n">
        <v>1</v>
      </c>
      <c r="C396" t="n">
        <v>1</v>
      </c>
      <c r="D396" t="n">
        <v>1</v>
      </c>
      <c r="E396" t="n">
        <v>1</v>
      </c>
      <c r="F396" t="n">
        <v>3</v>
      </c>
      <c r="G396" t="n">
        <v>2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2</v>
      </c>
      <c r="G397" t="n">
        <v>2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2</v>
      </c>
      <c r="G398" t="n">
        <v>2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2</v>
      </c>
      <c r="G399" t="n">
        <v>0</v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1</v>
      </c>
      <c r="F400" t="n">
        <v>1</v>
      </c>
      <c r="G400" t="n">
        <v>2</v>
      </c>
    </row>
    <row r="401">
      <c r="A401" t="n">
        <v>0</v>
      </c>
      <c r="B401" t="n">
        <v>1</v>
      </c>
      <c r="C401" t="n">
        <v>1</v>
      </c>
      <c r="D401" t="n">
        <v>1</v>
      </c>
      <c r="E401" t="n">
        <v>0</v>
      </c>
      <c r="F401" t="n">
        <v>2</v>
      </c>
      <c r="G401" t="n">
        <v>2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2</v>
      </c>
      <c r="G402" t="n">
        <v>2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2</v>
      </c>
      <c r="G403" t="n">
        <v>2</v>
      </c>
    </row>
    <row r="404">
      <c r="A404" t="n">
        <v>1</v>
      </c>
      <c r="B404" t="n">
        <v>1</v>
      </c>
      <c r="C404" t="n">
        <v>0</v>
      </c>
      <c r="D404" t="n">
        <v>1</v>
      </c>
      <c r="E404" t="n">
        <v>0</v>
      </c>
      <c r="F404" t="n">
        <v>2</v>
      </c>
      <c r="G404" t="n">
        <v>0</v>
      </c>
    </row>
    <row r="405">
      <c r="A405" t="n">
        <v>1</v>
      </c>
      <c r="B405" t="n">
        <v>0</v>
      </c>
      <c r="C405" t="n">
        <v>2</v>
      </c>
      <c r="D405" t="n">
        <v>1</v>
      </c>
      <c r="E405" t="n">
        <v>1</v>
      </c>
      <c r="F405" t="n">
        <v>3</v>
      </c>
      <c r="G405" t="n">
        <v>2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3</v>
      </c>
      <c r="G406" t="n">
        <v>2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0</v>
      </c>
      <c r="F407" t="n">
        <v>2</v>
      </c>
      <c r="G407" t="n">
        <v>2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3</v>
      </c>
      <c r="G408" t="n">
        <v>0</v>
      </c>
    </row>
    <row r="409">
      <c r="A409" t="n">
        <v>0</v>
      </c>
      <c r="B409" t="n">
        <v>0</v>
      </c>
      <c r="C409" t="n">
        <v>0</v>
      </c>
      <c r="D409" t="n">
        <v>1</v>
      </c>
      <c r="E409" t="n">
        <v>1</v>
      </c>
      <c r="F409" t="n">
        <v>3</v>
      </c>
      <c r="G409" t="n">
        <v>2</v>
      </c>
    </row>
    <row r="410">
      <c r="A410" t="n">
        <v>0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2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2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3</v>
      </c>
      <c r="G412" t="n">
        <v>2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2</v>
      </c>
      <c r="G413" t="n">
        <v>2</v>
      </c>
    </row>
    <row r="414">
      <c r="A414" t="n">
        <v>1</v>
      </c>
      <c r="B414" t="n">
        <v>0</v>
      </c>
      <c r="C414" t="n">
        <v>2</v>
      </c>
      <c r="D414" t="n">
        <v>1</v>
      </c>
      <c r="E414" t="n">
        <v>0</v>
      </c>
      <c r="F414" t="n">
        <v>2</v>
      </c>
      <c r="G414" t="n">
        <v>2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0</v>
      </c>
      <c r="F415" t="n">
        <v>2</v>
      </c>
      <c r="G415" t="n">
        <v>2</v>
      </c>
    </row>
    <row r="416">
      <c r="A416" t="n">
        <v>1</v>
      </c>
      <c r="B416" t="n">
        <v>0</v>
      </c>
      <c r="C416" t="n">
        <v>2</v>
      </c>
      <c r="D416" t="n">
        <v>0</v>
      </c>
      <c r="E416" t="n">
        <v>1</v>
      </c>
      <c r="F416" t="n">
        <v>1</v>
      </c>
      <c r="G416" t="n">
        <v>2</v>
      </c>
    </row>
    <row r="417">
      <c r="A417" t="n">
        <v>1</v>
      </c>
      <c r="B417" t="n">
        <v>0</v>
      </c>
      <c r="C417" t="n">
        <v>2</v>
      </c>
      <c r="D417" t="n">
        <v>0</v>
      </c>
      <c r="E417" t="n">
        <v>1</v>
      </c>
      <c r="F417" t="n">
        <v>1</v>
      </c>
      <c r="G417" t="n">
        <v>2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2</v>
      </c>
      <c r="G418" t="n">
        <v>2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1</v>
      </c>
      <c r="F419" t="n">
        <v>1</v>
      </c>
      <c r="G419" t="n">
        <v>0</v>
      </c>
    </row>
    <row r="420">
      <c r="A420" t="n">
        <v>0</v>
      </c>
      <c r="B420" t="n">
        <v>1</v>
      </c>
      <c r="C420" t="n">
        <v>1</v>
      </c>
      <c r="D420" t="n">
        <v>1</v>
      </c>
      <c r="E420" t="n">
        <v>0</v>
      </c>
      <c r="F420" t="n">
        <v>2</v>
      </c>
      <c r="G420" t="n">
        <v>2</v>
      </c>
    </row>
    <row r="421">
      <c r="A421" t="n">
        <v>1</v>
      </c>
      <c r="B421" t="n">
        <v>0</v>
      </c>
      <c r="C421" t="n">
        <v>2</v>
      </c>
      <c r="D421" t="n">
        <v>1</v>
      </c>
      <c r="E421" t="n">
        <v>0</v>
      </c>
      <c r="F421" t="n">
        <v>2</v>
      </c>
      <c r="G421" t="n">
        <v>2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2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3</v>
      </c>
      <c r="G423" t="n">
        <v>2</v>
      </c>
    </row>
    <row r="424">
      <c r="A424" t="n">
        <v>0</v>
      </c>
      <c r="B424" t="n">
        <v>0</v>
      </c>
      <c r="C424" t="n">
        <v>0</v>
      </c>
      <c r="D424" t="n">
        <v>1</v>
      </c>
      <c r="E424" t="n">
        <v>1</v>
      </c>
      <c r="F424" t="n">
        <v>3</v>
      </c>
      <c r="G424" t="n">
        <v>0</v>
      </c>
    </row>
    <row r="425">
      <c r="A425" t="n">
        <v>0</v>
      </c>
      <c r="B425" t="n">
        <v>1</v>
      </c>
      <c r="C425" t="n">
        <v>1</v>
      </c>
      <c r="D425" t="n">
        <v>1</v>
      </c>
      <c r="E425" t="n">
        <v>0</v>
      </c>
      <c r="F425" t="n">
        <v>2</v>
      </c>
      <c r="G425" t="n">
        <v>0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2</v>
      </c>
      <c r="G426" t="n">
        <v>2</v>
      </c>
    </row>
    <row r="427">
      <c r="A427" t="n">
        <v>1</v>
      </c>
      <c r="B427" t="n">
        <v>1</v>
      </c>
      <c r="C427" t="n">
        <v>0</v>
      </c>
      <c r="D427" t="n">
        <v>1</v>
      </c>
      <c r="E427" t="n">
        <v>1</v>
      </c>
      <c r="F427" t="n">
        <v>3</v>
      </c>
      <c r="G427" t="n">
        <v>2</v>
      </c>
    </row>
    <row r="428">
      <c r="A428" t="n">
        <v>1</v>
      </c>
      <c r="B428" t="n">
        <v>0</v>
      </c>
      <c r="C428" t="n">
        <v>2</v>
      </c>
      <c r="D428" t="n">
        <v>1</v>
      </c>
      <c r="E428" t="n">
        <v>0</v>
      </c>
      <c r="F428" t="n">
        <v>2</v>
      </c>
      <c r="G428" t="n">
        <v>2</v>
      </c>
    </row>
    <row r="429">
      <c r="A429" t="n">
        <v>1</v>
      </c>
      <c r="B429" t="n">
        <v>0</v>
      </c>
      <c r="C429" t="n">
        <v>2</v>
      </c>
      <c r="D429" t="n">
        <v>0</v>
      </c>
      <c r="E429" t="n">
        <v>0</v>
      </c>
      <c r="F429" t="n">
        <v>0</v>
      </c>
      <c r="G429" t="n">
        <v>2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3</v>
      </c>
      <c r="G430" t="n">
        <v>2</v>
      </c>
    </row>
    <row r="431">
      <c r="A431" t="n">
        <v>0</v>
      </c>
      <c r="B431" t="n">
        <v>1</v>
      </c>
      <c r="C431" t="n">
        <v>1</v>
      </c>
      <c r="D431" t="n">
        <v>1</v>
      </c>
      <c r="E431" t="n">
        <v>0</v>
      </c>
      <c r="F431" t="n">
        <v>2</v>
      </c>
      <c r="G431" t="n">
        <v>2</v>
      </c>
    </row>
    <row r="432">
      <c r="A432" t="n">
        <v>0</v>
      </c>
      <c r="B432" t="n">
        <v>1</v>
      </c>
      <c r="C432" t="n">
        <v>1</v>
      </c>
      <c r="D432" t="n">
        <v>1</v>
      </c>
      <c r="E432" t="n">
        <v>1</v>
      </c>
      <c r="F432" t="n">
        <v>3</v>
      </c>
      <c r="G432" t="n">
        <v>2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1</v>
      </c>
      <c r="F433" t="n">
        <v>3</v>
      </c>
      <c r="G433" t="n">
        <v>2</v>
      </c>
    </row>
    <row r="434">
      <c r="A434" t="n">
        <v>0</v>
      </c>
      <c r="B434" t="n">
        <v>0</v>
      </c>
      <c r="C434" t="n">
        <v>0</v>
      </c>
      <c r="D434" t="n">
        <v>1</v>
      </c>
      <c r="E434" t="n">
        <v>1</v>
      </c>
      <c r="F434" t="n">
        <v>3</v>
      </c>
      <c r="G434" t="n">
        <v>2</v>
      </c>
    </row>
    <row r="435">
      <c r="A435" t="n">
        <v>1</v>
      </c>
      <c r="B435" t="n">
        <v>0</v>
      </c>
      <c r="C435" t="n">
        <v>2</v>
      </c>
      <c r="D435" t="n">
        <v>1</v>
      </c>
      <c r="E435" t="n">
        <v>1</v>
      </c>
      <c r="F435" t="n">
        <v>3</v>
      </c>
      <c r="G435" t="n">
        <v>2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3</v>
      </c>
      <c r="G436" t="n">
        <v>2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3</v>
      </c>
      <c r="G437" t="n">
        <v>2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3</v>
      </c>
      <c r="G438" t="n">
        <v>2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3</v>
      </c>
      <c r="G439" t="n">
        <v>2</v>
      </c>
    </row>
    <row r="440">
      <c r="A440" t="n">
        <v>1</v>
      </c>
      <c r="B440" t="n">
        <v>1</v>
      </c>
      <c r="C440" t="n">
        <v>0</v>
      </c>
      <c r="D440" t="n">
        <v>1</v>
      </c>
      <c r="E440" t="n">
        <v>0</v>
      </c>
      <c r="F440" t="n">
        <v>2</v>
      </c>
      <c r="G440" t="n">
        <v>2</v>
      </c>
    </row>
    <row r="441">
      <c r="A441" t="n">
        <v>0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2</v>
      </c>
    </row>
    <row r="442">
      <c r="A442" t="n">
        <v>0</v>
      </c>
      <c r="B442" t="n">
        <v>1</v>
      </c>
      <c r="C442" t="n">
        <v>1</v>
      </c>
      <c r="D442" t="n">
        <v>1</v>
      </c>
      <c r="E442" t="n">
        <v>0</v>
      </c>
      <c r="F442" t="n">
        <v>2</v>
      </c>
      <c r="G442" t="n">
        <v>2</v>
      </c>
    </row>
    <row r="443">
      <c r="A443" t="n">
        <v>1</v>
      </c>
      <c r="B443" t="n">
        <v>0</v>
      </c>
      <c r="C443" t="n">
        <v>2</v>
      </c>
      <c r="D443" t="n">
        <v>1</v>
      </c>
      <c r="E443" t="n">
        <v>1</v>
      </c>
      <c r="F443" t="n">
        <v>3</v>
      </c>
      <c r="G443" t="n">
        <v>2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3</v>
      </c>
      <c r="G444" t="n">
        <v>2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1</v>
      </c>
      <c r="F445" t="n">
        <v>3</v>
      </c>
      <c r="G445" t="n">
        <v>2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1</v>
      </c>
      <c r="F446" t="n">
        <v>3</v>
      </c>
      <c r="G446" t="n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2</v>
      </c>
    </row>
    <row r="448">
      <c r="A448" t="n">
        <v>1</v>
      </c>
      <c r="B448" t="n">
        <v>0</v>
      </c>
      <c r="C448" t="n">
        <v>2</v>
      </c>
      <c r="D448" t="n">
        <v>1</v>
      </c>
      <c r="E448" t="n">
        <v>1</v>
      </c>
      <c r="F448" t="n">
        <v>3</v>
      </c>
      <c r="G448" t="n">
        <v>2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0</v>
      </c>
      <c r="F449" t="n">
        <v>2</v>
      </c>
      <c r="G449" t="n">
        <v>0</v>
      </c>
    </row>
    <row r="450">
      <c r="A450" t="n">
        <v>1</v>
      </c>
      <c r="B450" t="n">
        <v>1</v>
      </c>
      <c r="C450" t="n">
        <v>0</v>
      </c>
      <c r="D450" t="n">
        <v>1</v>
      </c>
      <c r="E450" t="n">
        <v>1</v>
      </c>
      <c r="F450" t="n">
        <v>3</v>
      </c>
      <c r="G450" t="n">
        <v>0</v>
      </c>
    </row>
    <row r="451">
      <c r="A451" t="n">
        <v>1</v>
      </c>
      <c r="B451" t="n">
        <v>0</v>
      </c>
      <c r="C451" t="n">
        <v>2</v>
      </c>
      <c r="D451" t="n">
        <v>1</v>
      </c>
      <c r="E451" t="n">
        <v>1</v>
      </c>
      <c r="F451" t="n">
        <v>3</v>
      </c>
      <c r="G451" t="n">
        <v>0</v>
      </c>
    </row>
    <row r="452">
      <c r="A452" t="n">
        <v>1</v>
      </c>
      <c r="B452" t="n">
        <v>1</v>
      </c>
      <c r="C452" t="n">
        <v>0</v>
      </c>
      <c r="D452" t="n">
        <v>1</v>
      </c>
      <c r="E452" t="n">
        <v>1</v>
      </c>
      <c r="F452" t="n">
        <v>3</v>
      </c>
      <c r="G452" t="n">
        <v>2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1</v>
      </c>
      <c r="F453" t="n">
        <v>3</v>
      </c>
      <c r="G453" t="n">
        <v>2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3</v>
      </c>
      <c r="G454" t="n">
        <v>2</v>
      </c>
    </row>
    <row r="455">
      <c r="A455" t="n">
        <v>1</v>
      </c>
      <c r="B455" t="n">
        <v>0</v>
      </c>
      <c r="C455" t="n">
        <v>2</v>
      </c>
      <c r="D455" t="n">
        <v>1</v>
      </c>
      <c r="E455" t="n">
        <v>0</v>
      </c>
      <c r="F455" t="n">
        <v>2</v>
      </c>
      <c r="G455" t="n">
        <v>2</v>
      </c>
    </row>
    <row r="456">
      <c r="A456" t="n">
        <v>0</v>
      </c>
      <c r="B456" t="n">
        <v>1</v>
      </c>
      <c r="C456" t="n">
        <v>1</v>
      </c>
      <c r="D456" t="n">
        <v>1</v>
      </c>
      <c r="E456" t="n">
        <v>0</v>
      </c>
      <c r="F456" t="n">
        <v>2</v>
      </c>
      <c r="G456" t="n">
        <v>2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2</v>
      </c>
      <c r="G457" t="n">
        <v>2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2</v>
      </c>
      <c r="G458" t="n">
        <v>2</v>
      </c>
    </row>
    <row r="459">
      <c r="A459" t="n">
        <v>1</v>
      </c>
      <c r="B459" t="n">
        <v>0</v>
      </c>
      <c r="C459" t="n">
        <v>2</v>
      </c>
      <c r="D459" t="n">
        <v>1</v>
      </c>
      <c r="E459" t="n">
        <v>0</v>
      </c>
      <c r="F459" t="n">
        <v>2</v>
      </c>
      <c r="G459" t="n">
        <v>2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2</v>
      </c>
    </row>
    <row r="461">
      <c r="A461" t="n">
        <v>1</v>
      </c>
      <c r="B461" t="n">
        <v>0</v>
      </c>
      <c r="C461" t="n">
        <v>2</v>
      </c>
      <c r="D461" t="n">
        <v>1</v>
      </c>
      <c r="E461" t="n">
        <v>0</v>
      </c>
      <c r="F461" t="n">
        <v>2</v>
      </c>
      <c r="G461" t="n">
        <v>2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2</v>
      </c>
      <c r="G462" t="n">
        <v>2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3</v>
      </c>
      <c r="G463" t="n">
        <v>2</v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0</v>
      </c>
      <c r="F464" t="n">
        <v>2</v>
      </c>
      <c r="G464" t="n">
        <v>2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1</v>
      </c>
      <c r="F465" t="n">
        <v>3</v>
      </c>
      <c r="G465" t="n">
        <v>2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3</v>
      </c>
      <c r="G466" t="n">
        <v>2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3</v>
      </c>
      <c r="G467" t="n">
        <v>2</v>
      </c>
    </row>
    <row r="468">
      <c r="A468" t="n">
        <v>1</v>
      </c>
      <c r="B468" t="n">
        <v>0</v>
      </c>
      <c r="C468" t="n">
        <v>2</v>
      </c>
      <c r="D468" t="n">
        <v>1</v>
      </c>
      <c r="E468" t="n">
        <v>0</v>
      </c>
      <c r="F468" t="n">
        <v>2</v>
      </c>
      <c r="G468" t="n">
        <v>0</v>
      </c>
    </row>
    <row r="469">
      <c r="A469" t="n">
        <v>0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2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2</v>
      </c>
      <c r="G470" t="n">
        <v>2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1</v>
      </c>
      <c r="F471" t="n">
        <v>3</v>
      </c>
      <c r="G471" t="n">
        <v>2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0</v>
      </c>
      <c r="F472" t="n">
        <v>2</v>
      </c>
      <c r="G472" t="n">
        <v>2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3</v>
      </c>
      <c r="G473" t="n">
        <v>2</v>
      </c>
    </row>
    <row r="474">
      <c r="A474" t="n">
        <v>1</v>
      </c>
      <c r="B474" t="n">
        <v>1</v>
      </c>
      <c r="C474" t="n">
        <v>0</v>
      </c>
      <c r="D474" t="n">
        <v>1</v>
      </c>
      <c r="E474" t="n">
        <v>1</v>
      </c>
      <c r="F474" t="n">
        <v>3</v>
      </c>
      <c r="G474" t="n">
        <v>2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3</v>
      </c>
      <c r="G475" t="n">
        <v>2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2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2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1</v>
      </c>
      <c r="F478" t="n">
        <v>1</v>
      </c>
      <c r="G478" t="n">
        <v>2</v>
      </c>
    </row>
    <row r="479">
      <c r="A479" t="n">
        <v>1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2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2</v>
      </c>
      <c r="G480" t="n">
        <v>2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0</v>
      </c>
      <c r="F481" t="n">
        <v>2</v>
      </c>
      <c r="G481" t="n">
        <v>2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3</v>
      </c>
      <c r="G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2</v>
      </c>
    </row>
    <row r="484">
      <c r="A484" t="n">
        <v>0</v>
      </c>
      <c r="B484" t="n">
        <v>0</v>
      </c>
      <c r="C484" t="n">
        <v>0</v>
      </c>
      <c r="D484" t="n">
        <v>1</v>
      </c>
      <c r="E484" t="n">
        <v>0</v>
      </c>
      <c r="F484" t="n">
        <v>2</v>
      </c>
      <c r="G484" t="n">
        <v>2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2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2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3</v>
      </c>
      <c r="G487" t="n">
        <v>2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3</v>
      </c>
      <c r="G488" t="n">
        <v>0</v>
      </c>
    </row>
    <row r="489">
      <c r="A489" t="n">
        <v>0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2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2</v>
      </c>
      <c r="G490" t="n">
        <v>2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3</v>
      </c>
      <c r="G491" t="n">
        <v>2</v>
      </c>
    </row>
    <row r="492">
      <c r="A492" t="n">
        <v>1</v>
      </c>
      <c r="B492" t="n">
        <v>0</v>
      </c>
      <c r="C492" t="n">
        <v>2</v>
      </c>
      <c r="D492" t="n">
        <v>0</v>
      </c>
      <c r="E492" t="n">
        <v>0</v>
      </c>
      <c r="F492" t="n">
        <v>0</v>
      </c>
      <c r="G492" t="n">
        <v>2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3</v>
      </c>
      <c r="G493" t="n">
        <v>0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2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2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3</v>
      </c>
      <c r="G496" t="n">
        <v>2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3</v>
      </c>
      <c r="G497" t="n">
        <v>2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3</v>
      </c>
      <c r="G498" t="n">
        <v>2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3</v>
      </c>
      <c r="G4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CÁLCULOS MI — Dataset A</t>
        </is>
      </c>
    </row>
    <row r="2">
      <c r="A2" s="2" t="inlineStr">
        <is>
          <t>N =</t>
        </is>
      </c>
      <c r="B2" s="3" t="n">
        <v>498</v>
      </c>
    </row>
    <row r="4">
      <c r="A4" s="4" t="inlineStr">
        <is>
          <t>x1 — x2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7" t="n"/>
    </row>
    <row r="5">
      <c r="A5" s="6" t="inlineStr">
        <is>
          <t>x1</t>
        </is>
      </c>
      <c r="B5" s="6" t="inlineStr">
        <is>
          <t>x2</t>
        </is>
      </c>
      <c r="C5" s="6" t="inlineStr">
        <is>
          <t>freq</t>
        </is>
      </c>
      <c r="D5" s="6" t="inlineStr">
        <is>
          <t>p(x1,x2)</t>
        </is>
      </c>
      <c r="E5" s="6" t="inlineStr">
        <is>
          <t>p(x1)</t>
        </is>
      </c>
      <c r="F5" s="6" t="inlineStr">
        <is>
          <t>p(x2)</t>
        </is>
      </c>
      <c r="G5" s="6" t="inlineStr">
        <is>
          <t>p(a)·p(b)</t>
        </is>
      </c>
      <c r="H5" s="6" t="inlineStr">
        <is>
          <t>ratio</t>
        </is>
      </c>
      <c r="I5" s="6" t="inlineStr">
        <is>
          <t>log₂(ratio)</t>
        </is>
      </c>
      <c r="J5" s="6" t="inlineStr">
        <is>
          <t>p·log₂(ratio)</t>
        </is>
      </c>
    </row>
    <row r="6">
      <c r="A6" s="7" t="n">
        <v>0</v>
      </c>
      <c r="B6" s="7" t="n">
        <v>0</v>
      </c>
      <c r="C6" s="8">
        <f>COUNTIFS(_Data_A!A:A,0,_Data_A!B:B,0)</f>
        <v/>
      </c>
      <c r="D6" s="9">
        <f>IF(C6=0,0,C6/498)</f>
        <v/>
      </c>
      <c r="E6" s="9">
        <f>IF(C6=0,0,COUNTIF(_Data_A!A:A,0)/498)</f>
        <v/>
      </c>
      <c r="F6" s="9">
        <f>IF(C6=0,0,COUNTIF(_Data_A!B:B,0)/498)</f>
        <v/>
      </c>
      <c r="G6" s="9">
        <f>IF(D6=0,0,E6*F6)</f>
        <v/>
      </c>
      <c r="H6" s="9">
        <f>IF(G6=0,0,D6/G6)</f>
        <v/>
      </c>
      <c r="I6" s="9">
        <f>IF(H6&lt;=0,0,LOG(H6,2))</f>
        <v/>
      </c>
      <c r="J6" s="9">
        <f>D6*I6</f>
        <v/>
      </c>
    </row>
    <row r="7">
      <c r="A7" s="7" t="n">
        <v>0</v>
      </c>
      <c r="B7" s="7" t="n">
        <v>1</v>
      </c>
      <c r="C7" s="8">
        <f>COUNTIFS(_Data_A!A:A,0,_Data_A!B:B,1)</f>
        <v/>
      </c>
      <c r="D7" s="9">
        <f>IF(C7=0,0,C7/498)</f>
        <v/>
      </c>
      <c r="E7" s="9">
        <f>IF(C7=0,0,COUNTIF(_Data_A!A:A,0)/498)</f>
        <v/>
      </c>
      <c r="F7" s="9">
        <f>IF(C7=0,0,COUNTIF(_Data_A!B:B,1)/498)</f>
        <v/>
      </c>
      <c r="G7" s="9">
        <f>IF(D7=0,0,E7*F7)</f>
        <v/>
      </c>
      <c r="H7" s="9">
        <f>IF(G7=0,0,D7/G7)</f>
        <v/>
      </c>
      <c r="I7" s="9">
        <f>IF(H7&lt;=0,0,LOG(H7,2))</f>
        <v/>
      </c>
      <c r="J7" s="9">
        <f>D7*I7</f>
        <v/>
      </c>
    </row>
    <row r="8">
      <c r="A8" s="7" t="n">
        <v>1</v>
      </c>
      <c r="B8" s="7" t="n">
        <v>0</v>
      </c>
      <c r="C8" s="8">
        <f>COUNTIFS(_Data_A!A:A,1,_Data_A!B:B,0)</f>
        <v/>
      </c>
      <c r="D8" s="9">
        <f>IF(C8=0,0,C8/498)</f>
        <v/>
      </c>
      <c r="E8" s="9">
        <f>IF(C8=0,0,COUNTIF(_Data_A!A:A,1)/498)</f>
        <v/>
      </c>
      <c r="F8" s="9">
        <f>IF(C8=0,0,COUNTIF(_Data_A!B:B,0)/498)</f>
        <v/>
      </c>
      <c r="G8" s="9">
        <f>IF(D8=0,0,E8*F8)</f>
        <v/>
      </c>
      <c r="H8" s="9">
        <f>IF(G8=0,0,D8/G8)</f>
        <v/>
      </c>
      <c r="I8" s="9">
        <f>IF(H8&lt;=0,0,LOG(H8,2))</f>
        <v/>
      </c>
      <c r="J8" s="9">
        <f>D8*I8</f>
        <v/>
      </c>
    </row>
    <row r="9">
      <c r="A9" s="7" t="n">
        <v>1</v>
      </c>
      <c r="B9" s="7" t="n">
        <v>1</v>
      </c>
      <c r="C9" s="8">
        <f>COUNTIFS(_Data_A!A:A,1,_Data_A!B:B,1)</f>
        <v/>
      </c>
      <c r="D9" s="9">
        <f>IF(C9=0,0,C9/498)</f>
        <v/>
      </c>
      <c r="E9" s="9">
        <f>IF(C9=0,0,COUNTIF(_Data_A!A:A,1)/498)</f>
        <v/>
      </c>
      <c r="F9" s="9">
        <f>IF(C9=0,0,COUNTIF(_Data_A!B:B,1)/498)</f>
        <v/>
      </c>
      <c r="G9" s="9">
        <f>IF(D9=0,0,E9*F9)</f>
        <v/>
      </c>
      <c r="H9" s="9">
        <f>IF(G9=0,0,D9/G9)</f>
        <v/>
      </c>
      <c r="I9" s="9">
        <f>IF(H9&lt;=0,0,LOG(H9,2))</f>
        <v/>
      </c>
      <c r="J9" s="9">
        <f>D9*I9</f>
        <v/>
      </c>
    </row>
    <row r="10">
      <c r="A10" s="2" t="inlineStr">
        <is>
          <t>IM(x1,x2) =</t>
        </is>
      </c>
      <c r="B10" s="26" t="n"/>
      <c r="C10" s="26" t="n"/>
      <c r="D10" s="26" t="n"/>
      <c r="E10" s="26" t="n"/>
      <c r="F10" s="26" t="n"/>
      <c r="G10" s="26" t="n"/>
      <c r="H10" s="26" t="n"/>
      <c r="I10" s="27" t="n"/>
      <c r="J10" s="11">
        <f>SUM(J6:J9)</f>
        <v/>
      </c>
    </row>
    <row r="13">
      <c r="A13" s="4" t="inlineStr">
        <is>
          <t>x1 — x5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7" t="n"/>
    </row>
    <row r="14">
      <c r="A14" s="6" t="inlineStr">
        <is>
          <t>x1</t>
        </is>
      </c>
      <c r="B14" s="6" t="inlineStr">
        <is>
          <t>x5</t>
        </is>
      </c>
      <c r="C14" s="6" t="inlineStr">
        <is>
          <t>freq</t>
        </is>
      </c>
      <c r="D14" s="6" t="inlineStr">
        <is>
          <t>p(x1,x5)</t>
        </is>
      </c>
      <c r="E14" s="6" t="inlineStr">
        <is>
          <t>p(x1)</t>
        </is>
      </c>
      <c r="F14" s="6" t="inlineStr">
        <is>
          <t>p(x5)</t>
        </is>
      </c>
      <c r="G14" s="6" t="inlineStr">
        <is>
          <t>p(a)·p(b)</t>
        </is>
      </c>
      <c r="H14" s="6" t="inlineStr">
        <is>
          <t>ratio</t>
        </is>
      </c>
      <c r="I14" s="6" t="inlineStr">
        <is>
          <t>log₂(ratio)</t>
        </is>
      </c>
      <c r="J14" s="6" t="inlineStr">
        <is>
          <t>p·log₂(ratio)</t>
        </is>
      </c>
    </row>
    <row r="15">
      <c r="A15" s="7" t="n">
        <v>0</v>
      </c>
      <c r="B15" s="7" t="n">
        <v>0</v>
      </c>
      <c r="C15" s="8">
        <f>COUNTIFS(_Data_A!A:A,0,_Data_A!C:C,0)</f>
        <v/>
      </c>
      <c r="D15" s="9">
        <f>IF(C15=0,0,C15/498)</f>
        <v/>
      </c>
      <c r="E15" s="9">
        <f>IF(C15=0,0,COUNTIF(_Data_A!A:A,0)/498)</f>
        <v/>
      </c>
      <c r="F15" s="9">
        <f>IF(C15=0,0,COUNTIF(_Data_A!C:C,0)/498)</f>
        <v/>
      </c>
      <c r="G15" s="9">
        <f>IF(D15=0,0,E15*F15)</f>
        <v/>
      </c>
      <c r="H15" s="9">
        <f>IF(G15=0,0,D15/G15)</f>
        <v/>
      </c>
      <c r="I15" s="9">
        <f>IF(H15&lt;=0,0,LOG(H15,2))</f>
        <v/>
      </c>
      <c r="J15" s="9">
        <f>D15*I15</f>
        <v/>
      </c>
    </row>
    <row r="16">
      <c r="A16" s="7" t="n">
        <v>0</v>
      </c>
      <c r="B16" s="7" t="n">
        <v>1</v>
      </c>
      <c r="C16" s="8">
        <f>COUNTIFS(_Data_A!A:A,0,_Data_A!C:C,1)</f>
        <v/>
      </c>
      <c r="D16" s="9">
        <f>IF(C16=0,0,C16/498)</f>
        <v/>
      </c>
      <c r="E16" s="9">
        <f>IF(C16=0,0,COUNTIF(_Data_A!A:A,0)/498)</f>
        <v/>
      </c>
      <c r="F16" s="9">
        <f>IF(C16=0,0,COUNTIF(_Data_A!C:C,1)/498)</f>
        <v/>
      </c>
      <c r="G16" s="9">
        <f>IF(D16=0,0,E16*F16)</f>
        <v/>
      </c>
      <c r="H16" s="9">
        <f>IF(G16=0,0,D16/G16)</f>
        <v/>
      </c>
      <c r="I16" s="9">
        <f>IF(H16&lt;=0,0,LOG(H16,2))</f>
        <v/>
      </c>
      <c r="J16" s="9">
        <f>D16*I16</f>
        <v/>
      </c>
    </row>
    <row r="17">
      <c r="A17" s="7" t="n">
        <v>0</v>
      </c>
      <c r="B17" s="7" t="n">
        <v>2</v>
      </c>
      <c r="C17" s="8">
        <f>COUNTIFS(_Data_A!A:A,0,_Data_A!C:C,2)</f>
        <v/>
      </c>
      <c r="D17" s="9">
        <f>IF(C17=0,0,C17/498)</f>
        <v/>
      </c>
      <c r="E17" s="9">
        <f>IF(C17=0,0,COUNTIF(_Data_A!A:A,0)/498)</f>
        <v/>
      </c>
      <c r="F17" s="9">
        <f>IF(C17=0,0,COUNTIF(_Data_A!C:C,2)/498)</f>
        <v/>
      </c>
      <c r="G17" s="9">
        <f>IF(D17=0,0,E17*F17)</f>
        <v/>
      </c>
      <c r="H17" s="9">
        <f>IF(G17=0,0,D17/G17)</f>
        <v/>
      </c>
      <c r="I17" s="9">
        <f>IF(H17&lt;=0,0,LOG(H17,2))</f>
        <v/>
      </c>
      <c r="J17" s="9">
        <f>D17*I17</f>
        <v/>
      </c>
    </row>
    <row r="18">
      <c r="A18" s="7" t="n">
        <v>1</v>
      </c>
      <c r="B18" s="7" t="n">
        <v>0</v>
      </c>
      <c r="C18" s="8">
        <f>COUNTIFS(_Data_A!A:A,1,_Data_A!C:C,0)</f>
        <v/>
      </c>
      <c r="D18" s="9">
        <f>IF(C18=0,0,C18/498)</f>
        <v/>
      </c>
      <c r="E18" s="9">
        <f>IF(C18=0,0,COUNTIF(_Data_A!A:A,1)/498)</f>
        <v/>
      </c>
      <c r="F18" s="9">
        <f>IF(C18=0,0,COUNTIF(_Data_A!C:C,0)/498)</f>
        <v/>
      </c>
      <c r="G18" s="9">
        <f>IF(D18=0,0,E18*F18)</f>
        <v/>
      </c>
      <c r="H18" s="9">
        <f>IF(G18=0,0,D18/G18)</f>
        <v/>
      </c>
      <c r="I18" s="9">
        <f>IF(H18&lt;=0,0,LOG(H18,2))</f>
        <v/>
      </c>
      <c r="J18" s="9">
        <f>D18*I18</f>
        <v/>
      </c>
    </row>
    <row r="19">
      <c r="A19" s="7" t="n">
        <v>1</v>
      </c>
      <c r="B19" s="7" t="n">
        <v>1</v>
      </c>
      <c r="C19" s="8">
        <f>COUNTIFS(_Data_A!A:A,1,_Data_A!C:C,1)</f>
        <v/>
      </c>
      <c r="D19" s="9">
        <f>IF(C19=0,0,C19/498)</f>
        <v/>
      </c>
      <c r="E19" s="9">
        <f>IF(C19=0,0,COUNTIF(_Data_A!A:A,1)/498)</f>
        <v/>
      </c>
      <c r="F19" s="9">
        <f>IF(C19=0,0,COUNTIF(_Data_A!C:C,1)/498)</f>
        <v/>
      </c>
      <c r="G19" s="9">
        <f>IF(D19=0,0,E19*F19)</f>
        <v/>
      </c>
      <c r="H19" s="9">
        <f>IF(G19=0,0,D19/G19)</f>
        <v/>
      </c>
      <c r="I19" s="9">
        <f>IF(H19&lt;=0,0,LOG(H19,2))</f>
        <v/>
      </c>
      <c r="J19" s="9">
        <f>D19*I19</f>
        <v/>
      </c>
    </row>
    <row r="20">
      <c r="A20" s="7" t="n">
        <v>1</v>
      </c>
      <c r="B20" s="7" t="n">
        <v>2</v>
      </c>
      <c r="C20" s="8">
        <f>COUNTIFS(_Data_A!A:A,1,_Data_A!C:C,2)</f>
        <v/>
      </c>
      <c r="D20" s="9">
        <f>IF(C20=0,0,C20/498)</f>
        <v/>
      </c>
      <c r="E20" s="9">
        <f>IF(C20=0,0,COUNTIF(_Data_A!A:A,1)/498)</f>
        <v/>
      </c>
      <c r="F20" s="9">
        <f>IF(C20=0,0,COUNTIF(_Data_A!C:C,2)/498)</f>
        <v/>
      </c>
      <c r="G20" s="9">
        <f>IF(D20=0,0,E20*F20)</f>
        <v/>
      </c>
      <c r="H20" s="9">
        <f>IF(G20=0,0,D20/G20)</f>
        <v/>
      </c>
      <c r="I20" s="9">
        <f>IF(H20&lt;=0,0,LOG(H20,2))</f>
        <v/>
      </c>
      <c r="J20" s="9">
        <f>D20*I20</f>
        <v/>
      </c>
    </row>
    <row r="21">
      <c r="A21" s="2" t="inlineStr">
        <is>
          <t>IM(x1,x5) =</t>
        </is>
      </c>
      <c r="B21" s="26" t="n"/>
      <c r="C21" s="26" t="n"/>
      <c r="D21" s="26" t="n"/>
      <c r="E21" s="26" t="n"/>
      <c r="F21" s="26" t="n"/>
      <c r="G21" s="26" t="n"/>
      <c r="H21" s="26" t="n"/>
      <c r="I21" s="27" t="n"/>
      <c r="J21" s="11">
        <f>SUM(J15:J20)</f>
        <v/>
      </c>
    </row>
    <row r="24">
      <c r="A24" s="4" t="inlineStr">
        <is>
          <t>x1 — x4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7" t="n"/>
    </row>
    <row r="25">
      <c r="A25" s="6" t="inlineStr">
        <is>
          <t>x1</t>
        </is>
      </c>
      <c r="B25" s="6" t="inlineStr">
        <is>
          <t>x4</t>
        </is>
      </c>
      <c r="C25" s="6" t="inlineStr">
        <is>
          <t>freq</t>
        </is>
      </c>
      <c r="D25" s="6" t="inlineStr">
        <is>
          <t>p(x1,x4)</t>
        </is>
      </c>
      <c r="E25" s="6" t="inlineStr">
        <is>
          <t>p(x1)</t>
        </is>
      </c>
      <c r="F25" s="6" t="inlineStr">
        <is>
          <t>p(x4)</t>
        </is>
      </c>
      <c r="G25" s="6" t="inlineStr">
        <is>
          <t>p(a)·p(b)</t>
        </is>
      </c>
      <c r="H25" s="6" t="inlineStr">
        <is>
          <t>ratio</t>
        </is>
      </c>
      <c r="I25" s="6" t="inlineStr">
        <is>
          <t>log₂(ratio)</t>
        </is>
      </c>
      <c r="J25" s="6" t="inlineStr">
        <is>
          <t>p·log₂(ratio)</t>
        </is>
      </c>
    </row>
    <row r="26">
      <c r="A26" s="7" t="n">
        <v>0</v>
      </c>
      <c r="B26" s="7" t="n">
        <v>0</v>
      </c>
      <c r="C26" s="8">
        <f>COUNTIFS(_Data_A!A:A,0,_Data_A!D:D,0)</f>
        <v/>
      </c>
      <c r="D26" s="9">
        <f>IF(C26=0,0,C26/498)</f>
        <v/>
      </c>
      <c r="E26" s="9">
        <f>IF(C26=0,0,COUNTIF(_Data_A!A:A,0)/498)</f>
        <v/>
      </c>
      <c r="F26" s="9">
        <f>IF(C26=0,0,COUNTIF(_Data_A!D:D,0)/498)</f>
        <v/>
      </c>
      <c r="G26" s="9">
        <f>IF(D26=0,0,E26*F26)</f>
        <v/>
      </c>
      <c r="H26" s="9">
        <f>IF(G26=0,0,D26/G26)</f>
        <v/>
      </c>
      <c r="I26" s="9">
        <f>IF(H26&lt;=0,0,LOG(H26,2))</f>
        <v/>
      </c>
      <c r="J26" s="9">
        <f>D26*I26</f>
        <v/>
      </c>
    </row>
    <row r="27">
      <c r="A27" s="7" t="n">
        <v>0</v>
      </c>
      <c r="B27" s="7" t="n">
        <v>1</v>
      </c>
      <c r="C27" s="8">
        <f>COUNTIFS(_Data_A!A:A,0,_Data_A!D:D,1)</f>
        <v/>
      </c>
      <c r="D27" s="9">
        <f>IF(C27=0,0,C27/498)</f>
        <v/>
      </c>
      <c r="E27" s="9">
        <f>IF(C27=0,0,COUNTIF(_Data_A!A:A,0)/498)</f>
        <v/>
      </c>
      <c r="F27" s="9">
        <f>IF(C27=0,0,COUNTIF(_Data_A!D:D,1)/498)</f>
        <v/>
      </c>
      <c r="G27" s="9">
        <f>IF(D27=0,0,E27*F27)</f>
        <v/>
      </c>
      <c r="H27" s="9">
        <f>IF(G27=0,0,D27/G27)</f>
        <v/>
      </c>
      <c r="I27" s="9">
        <f>IF(H27&lt;=0,0,LOG(H27,2))</f>
        <v/>
      </c>
      <c r="J27" s="9">
        <f>D27*I27</f>
        <v/>
      </c>
    </row>
    <row r="28">
      <c r="A28" s="7" t="n">
        <v>1</v>
      </c>
      <c r="B28" s="7" t="n">
        <v>0</v>
      </c>
      <c r="C28" s="8">
        <f>COUNTIFS(_Data_A!A:A,1,_Data_A!D:D,0)</f>
        <v/>
      </c>
      <c r="D28" s="9">
        <f>IF(C28=0,0,C28/498)</f>
        <v/>
      </c>
      <c r="E28" s="9">
        <f>IF(C28=0,0,COUNTIF(_Data_A!A:A,1)/498)</f>
        <v/>
      </c>
      <c r="F28" s="9">
        <f>IF(C28=0,0,COUNTIF(_Data_A!D:D,0)/498)</f>
        <v/>
      </c>
      <c r="G28" s="9">
        <f>IF(D28=0,0,E28*F28)</f>
        <v/>
      </c>
      <c r="H28" s="9">
        <f>IF(G28=0,0,D28/G28)</f>
        <v/>
      </c>
      <c r="I28" s="9">
        <f>IF(H28&lt;=0,0,LOG(H28,2))</f>
        <v/>
      </c>
      <c r="J28" s="9">
        <f>D28*I28</f>
        <v/>
      </c>
    </row>
    <row r="29">
      <c r="A29" s="7" t="n">
        <v>1</v>
      </c>
      <c r="B29" s="7" t="n">
        <v>1</v>
      </c>
      <c r="C29" s="8">
        <f>COUNTIFS(_Data_A!A:A,1,_Data_A!D:D,1)</f>
        <v/>
      </c>
      <c r="D29" s="9">
        <f>IF(C29=0,0,C29/498)</f>
        <v/>
      </c>
      <c r="E29" s="9">
        <f>IF(C29=0,0,COUNTIF(_Data_A!A:A,1)/498)</f>
        <v/>
      </c>
      <c r="F29" s="9">
        <f>IF(C29=0,0,COUNTIF(_Data_A!D:D,1)/498)</f>
        <v/>
      </c>
      <c r="G29" s="9">
        <f>IF(D29=0,0,E29*F29)</f>
        <v/>
      </c>
      <c r="H29" s="9">
        <f>IF(G29=0,0,D29/G29)</f>
        <v/>
      </c>
      <c r="I29" s="9">
        <f>IF(H29&lt;=0,0,LOG(H29,2))</f>
        <v/>
      </c>
      <c r="J29" s="9">
        <f>D29*I29</f>
        <v/>
      </c>
    </row>
    <row r="30">
      <c r="A30" s="2" t="inlineStr">
        <is>
          <t>IM(x1,x4) =</t>
        </is>
      </c>
      <c r="B30" s="26" t="n"/>
      <c r="C30" s="26" t="n"/>
      <c r="D30" s="26" t="n"/>
      <c r="E30" s="26" t="n"/>
      <c r="F30" s="26" t="n"/>
      <c r="G30" s="26" t="n"/>
      <c r="H30" s="26" t="n"/>
      <c r="I30" s="27" t="n"/>
      <c r="J30" s="11">
        <f>SUM(J26:J29)</f>
        <v/>
      </c>
    </row>
    <row r="33">
      <c r="A33" s="4" t="inlineStr">
        <is>
          <t>x1 — x6</t>
        </is>
      </c>
      <c r="B33" s="26" t="n"/>
      <c r="C33" s="26" t="n"/>
      <c r="D33" s="26" t="n"/>
      <c r="E33" s="26" t="n"/>
      <c r="F33" s="26" t="n"/>
      <c r="G33" s="26" t="n"/>
      <c r="H33" s="26" t="n"/>
      <c r="I33" s="26" t="n"/>
      <c r="J33" s="27" t="n"/>
    </row>
    <row r="34">
      <c r="A34" s="6" t="inlineStr">
        <is>
          <t>x1</t>
        </is>
      </c>
      <c r="B34" s="6" t="inlineStr">
        <is>
          <t>x6</t>
        </is>
      </c>
      <c r="C34" s="6" t="inlineStr">
        <is>
          <t>freq</t>
        </is>
      </c>
      <c r="D34" s="6" t="inlineStr">
        <is>
          <t>p(x1,x6)</t>
        </is>
      </c>
      <c r="E34" s="6" t="inlineStr">
        <is>
          <t>p(x1)</t>
        </is>
      </c>
      <c r="F34" s="6" t="inlineStr">
        <is>
          <t>p(x6)</t>
        </is>
      </c>
      <c r="G34" s="6" t="inlineStr">
        <is>
          <t>p(a)·p(b)</t>
        </is>
      </c>
      <c r="H34" s="6" t="inlineStr">
        <is>
          <t>ratio</t>
        </is>
      </c>
      <c r="I34" s="6" t="inlineStr">
        <is>
          <t>log₂(ratio)</t>
        </is>
      </c>
      <c r="J34" s="6" t="inlineStr">
        <is>
          <t>p·log₂(ratio)</t>
        </is>
      </c>
    </row>
    <row r="35">
      <c r="A35" s="7" t="n">
        <v>0</v>
      </c>
      <c r="B35" s="7" t="n">
        <v>0</v>
      </c>
      <c r="C35" s="8">
        <f>COUNTIFS(_Data_A!A:A,0,_Data_A!E:E,0)</f>
        <v/>
      </c>
      <c r="D35" s="9">
        <f>IF(C35=0,0,C35/498)</f>
        <v/>
      </c>
      <c r="E35" s="9">
        <f>IF(C35=0,0,COUNTIF(_Data_A!A:A,0)/498)</f>
        <v/>
      </c>
      <c r="F35" s="9">
        <f>IF(C35=0,0,COUNTIF(_Data_A!E:E,0)/498)</f>
        <v/>
      </c>
      <c r="G35" s="9">
        <f>IF(D35=0,0,E35*F35)</f>
        <v/>
      </c>
      <c r="H35" s="9">
        <f>IF(G35=0,0,D35/G35)</f>
        <v/>
      </c>
      <c r="I35" s="9">
        <f>IF(H35&lt;=0,0,LOG(H35,2))</f>
        <v/>
      </c>
      <c r="J35" s="9">
        <f>D35*I35</f>
        <v/>
      </c>
    </row>
    <row r="36">
      <c r="A36" s="7" t="n">
        <v>0</v>
      </c>
      <c r="B36" s="7" t="n">
        <v>1</v>
      </c>
      <c r="C36" s="8">
        <f>COUNTIFS(_Data_A!A:A,0,_Data_A!E:E,1)</f>
        <v/>
      </c>
      <c r="D36" s="9">
        <f>IF(C36=0,0,C36/498)</f>
        <v/>
      </c>
      <c r="E36" s="9">
        <f>IF(C36=0,0,COUNTIF(_Data_A!A:A,0)/498)</f>
        <v/>
      </c>
      <c r="F36" s="9">
        <f>IF(C36=0,0,COUNTIF(_Data_A!E:E,1)/498)</f>
        <v/>
      </c>
      <c r="G36" s="9">
        <f>IF(D36=0,0,E36*F36)</f>
        <v/>
      </c>
      <c r="H36" s="9">
        <f>IF(G36=0,0,D36/G36)</f>
        <v/>
      </c>
      <c r="I36" s="9">
        <f>IF(H36&lt;=0,0,LOG(H36,2))</f>
        <v/>
      </c>
      <c r="J36" s="9">
        <f>D36*I36</f>
        <v/>
      </c>
    </row>
    <row r="37">
      <c r="A37" s="7" t="n">
        <v>1</v>
      </c>
      <c r="B37" s="7" t="n">
        <v>0</v>
      </c>
      <c r="C37" s="8">
        <f>COUNTIFS(_Data_A!A:A,1,_Data_A!E:E,0)</f>
        <v/>
      </c>
      <c r="D37" s="9">
        <f>IF(C37=0,0,C37/498)</f>
        <v/>
      </c>
      <c r="E37" s="9">
        <f>IF(C37=0,0,COUNTIF(_Data_A!A:A,1)/498)</f>
        <v/>
      </c>
      <c r="F37" s="9">
        <f>IF(C37=0,0,COUNTIF(_Data_A!E:E,0)/498)</f>
        <v/>
      </c>
      <c r="G37" s="9">
        <f>IF(D37=0,0,E37*F37)</f>
        <v/>
      </c>
      <c r="H37" s="9">
        <f>IF(G37=0,0,D37/G37)</f>
        <v/>
      </c>
      <c r="I37" s="9">
        <f>IF(H37&lt;=0,0,LOG(H37,2))</f>
        <v/>
      </c>
      <c r="J37" s="9">
        <f>D37*I37</f>
        <v/>
      </c>
    </row>
    <row r="38">
      <c r="A38" s="7" t="n">
        <v>1</v>
      </c>
      <c r="B38" s="7" t="n">
        <v>1</v>
      </c>
      <c r="C38" s="8">
        <f>COUNTIFS(_Data_A!A:A,1,_Data_A!E:E,1)</f>
        <v/>
      </c>
      <c r="D38" s="9">
        <f>IF(C38=0,0,C38/498)</f>
        <v/>
      </c>
      <c r="E38" s="9">
        <f>IF(C38=0,0,COUNTIF(_Data_A!A:A,1)/498)</f>
        <v/>
      </c>
      <c r="F38" s="9">
        <f>IF(C38=0,0,COUNTIF(_Data_A!E:E,1)/498)</f>
        <v/>
      </c>
      <c r="G38" s="9">
        <f>IF(D38=0,0,E38*F38)</f>
        <v/>
      </c>
      <c r="H38" s="9">
        <f>IF(G38=0,0,D38/G38)</f>
        <v/>
      </c>
      <c r="I38" s="9">
        <f>IF(H38&lt;=0,0,LOG(H38,2))</f>
        <v/>
      </c>
      <c r="J38" s="9">
        <f>D38*I38</f>
        <v/>
      </c>
    </row>
    <row r="39">
      <c r="A39" s="2" t="inlineStr">
        <is>
          <t>IM(x1,x6) =</t>
        </is>
      </c>
      <c r="B39" s="26" t="n"/>
      <c r="C39" s="26" t="n"/>
      <c r="D39" s="26" t="n"/>
      <c r="E39" s="26" t="n"/>
      <c r="F39" s="26" t="n"/>
      <c r="G39" s="26" t="n"/>
      <c r="H39" s="26" t="n"/>
      <c r="I39" s="27" t="n"/>
      <c r="J39" s="11">
        <f>SUM(J35:J38)</f>
        <v/>
      </c>
    </row>
    <row r="42">
      <c r="A42" s="4" t="inlineStr">
        <is>
          <t>x1 — x9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7" t="n"/>
    </row>
    <row r="43">
      <c r="A43" s="6" t="inlineStr">
        <is>
          <t>x1</t>
        </is>
      </c>
      <c r="B43" s="6" t="inlineStr">
        <is>
          <t>x9</t>
        </is>
      </c>
      <c r="C43" s="6" t="inlineStr">
        <is>
          <t>freq</t>
        </is>
      </c>
      <c r="D43" s="6" t="inlineStr">
        <is>
          <t>p(x1,x9)</t>
        </is>
      </c>
      <c r="E43" s="6" t="inlineStr">
        <is>
          <t>p(x1)</t>
        </is>
      </c>
      <c r="F43" s="6" t="inlineStr">
        <is>
          <t>p(x9)</t>
        </is>
      </c>
      <c r="G43" s="6" t="inlineStr">
        <is>
          <t>p(a)·p(b)</t>
        </is>
      </c>
      <c r="H43" s="6" t="inlineStr">
        <is>
          <t>ratio</t>
        </is>
      </c>
      <c r="I43" s="6" t="inlineStr">
        <is>
          <t>log₂(ratio)</t>
        </is>
      </c>
      <c r="J43" s="6" t="inlineStr">
        <is>
          <t>p·log₂(ratio)</t>
        </is>
      </c>
    </row>
    <row r="44">
      <c r="A44" s="7" t="n">
        <v>0</v>
      </c>
      <c r="B44" s="7" t="n">
        <v>0</v>
      </c>
      <c r="C44" s="8">
        <f>COUNTIFS(_Data_A!A:A,0,_Data_A!F:F,0)</f>
        <v/>
      </c>
      <c r="D44" s="9">
        <f>IF(C44=0,0,C44/498)</f>
        <v/>
      </c>
      <c r="E44" s="9">
        <f>IF(C44=0,0,COUNTIF(_Data_A!A:A,0)/498)</f>
        <v/>
      </c>
      <c r="F44" s="9">
        <f>IF(C44=0,0,COUNTIF(_Data_A!F:F,0)/498)</f>
        <v/>
      </c>
      <c r="G44" s="9">
        <f>IF(D44=0,0,E44*F44)</f>
        <v/>
      </c>
      <c r="H44" s="9">
        <f>IF(G44=0,0,D44/G44)</f>
        <v/>
      </c>
      <c r="I44" s="9">
        <f>IF(H44&lt;=0,0,LOG(H44,2))</f>
        <v/>
      </c>
      <c r="J44" s="9">
        <f>D44*I44</f>
        <v/>
      </c>
    </row>
    <row r="45">
      <c r="A45" s="7" t="n">
        <v>0</v>
      </c>
      <c r="B45" s="7" t="n">
        <v>1</v>
      </c>
      <c r="C45" s="8">
        <f>COUNTIFS(_Data_A!A:A,0,_Data_A!F:F,1)</f>
        <v/>
      </c>
      <c r="D45" s="9">
        <f>IF(C45=0,0,C45/498)</f>
        <v/>
      </c>
      <c r="E45" s="9">
        <f>IF(C45=0,0,COUNTIF(_Data_A!A:A,0)/498)</f>
        <v/>
      </c>
      <c r="F45" s="9">
        <f>IF(C45=0,0,COUNTIF(_Data_A!F:F,1)/498)</f>
        <v/>
      </c>
      <c r="G45" s="9">
        <f>IF(D45=0,0,E45*F45)</f>
        <v/>
      </c>
      <c r="H45" s="9">
        <f>IF(G45=0,0,D45/G45)</f>
        <v/>
      </c>
      <c r="I45" s="9">
        <f>IF(H45&lt;=0,0,LOG(H45,2))</f>
        <v/>
      </c>
      <c r="J45" s="9">
        <f>D45*I45</f>
        <v/>
      </c>
    </row>
    <row r="46">
      <c r="A46" s="7" t="n">
        <v>0</v>
      </c>
      <c r="B46" s="7" t="n">
        <v>2</v>
      </c>
      <c r="C46" s="8">
        <f>COUNTIFS(_Data_A!A:A,0,_Data_A!F:F,2)</f>
        <v/>
      </c>
      <c r="D46" s="9">
        <f>IF(C46=0,0,C46/498)</f>
        <v/>
      </c>
      <c r="E46" s="9">
        <f>IF(C46=0,0,COUNTIF(_Data_A!A:A,0)/498)</f>
        <v/>
      </c>
      <c r="F46" s="9">
        <f>IF(C46=0,0,COUNTIF(_Data_A!F:F,2)/498)</f>
        <v/>
      </c>
      <c r="G46" s="9">
        <f>IF(D46=0,0,E46*F46)</f>
        <v/>
      </c>
      <c r="H46" s="9">
        <f>IF(G46=0,0,D46/G46)</f>
        <v/>
      </c>
      <c r="I46" s="9">
        <f>IF(H46&lt;=0,0,LOG(H46,2))</f>
        <v/>
      </c>
      <c r="J46" s="9">
        <f>D46*I46</f>
        <v/>
      </c>
    </row>
    <row r="47">
      <c r="A47" s="7" t="n">
        <v>0</v>
      </c>
      <c r="B47" s="7" t="n">
        <v>3</v>
      </c>
      <c r="C47" s="8">
        <f>COUNTIFS(_Data_A!A:A,0,_Data_A!F:F,3)</f>
        <v/>
      </c>
      <c r="D47" s="9">
        <f>IF(C47=0,0,C47/498)</f>
        <v/>
      </c>
      <c r="E47" s="9">
        <f>IF(C47=0,0,COUNTIF(_Data_A!A:A,0)/498)</f>
        <v/>
      </c>
      <c r="F47" s="9">
        <f>IF(C47=0,0,COUNTIF(_Data_A!F:F,3)/498)</f>
        <v/>
      </c>
      <c r="G47" s="9">
        <f>IF(D47=0,0,E47*F47)</f>
        <v/>
      </c>
      <c r="H47" s="9">
        <f>IF(G47=0,0,D47/G47)</f>
        <v/>
      </c>
      <c r="I47" s="9">
        <f>IF(H47&lt;=0,0,LOG(H47,2))</f>
        <v/>
      </c>
      <c r="J47" s="9">
        <f>D47*I47</f>
        <v/>
      </c>
    </row>
    <row r="48">
      <c r="A48" s="7" t="n">
        <v>1</v>
      </c>
      <c r="B48" s="7" t="n">
        <v>0</v>
      </c>
      <c r="C48" s="8">
        <f>COUNTIFS(_Data_A!A:A,1,_Data_A!F:F,0)</f>
        <v/>
      </c>
      <c r="D48" s="9">
        <f>IF(C48=0,0,C48/498)</f>
        <v/>
      </c>
      <c r="E48" s="9">
        <f>IF(C48=0,0,COUNTIF(_Data_A!A:A,1)/498)</f>
        <v/>
      </c>
      <c r="F48" s="9">
        <f>IF(C48=0,0,COUNTIF(_Data_A!F:F,0)/498)</f>
        <v/>
      </c>
      <c r="G48" s="9">
        <f>IF(D48=0,0,E48*F48)</f>
        <v/>
      </c>
      <c r="H48" s="9">
        <f>IF(G48=0,0,D48/G48)</f>
        <v/>
      </c>
      <c r="I48" s="9">
        <f>IF(H48&lt;=0,0,LOG(H48,2))</f>
        <v/>
      </c>
      <c r="J48" s="9">
        <f>D48*I48</f>
        <v/>
      </c>
    </row>
    <row r="49">
      <c r="A49" s="7" t="n">
        <v>1</v>
      </c>
      <c r="B49" s="7" t="n">
        <v>1</v>
      </c>
      <c r="C49" s="8">
        <f>COUNTIFS(_Data_A!A:A,1,_Data_A!F:F,1)</f>
        <v/>
      </c>
      <c r="D49" s="9">
        <f>IF(C49=0,0,C49/498)</f>
        <v/>
      </c>
      <c r="E49" s="9">
        <f>IF(C49=0,0,COUNTIF(_Data_A!A:A,1)/498)</f>
        <v/>
      </c>
      <c r="F49" s="9">
        <f>IF(C49=0,0,COUNTIF(_Data_A!F:F,1)/498)</f>
        <v/>
      </c>
      <c r="G49" s="9">
        <f>IF(D49=0,0,E49*F49)</f>
        <v/>
      </c>
      <c r="H49" s="9">
        <f>IF(G49=0,0,D49/G49)</f>
        <v/>
      </c>
      <c r="I49" s="9">
        <f>IF(H49&lt;=0,0,LOG(H49,2))</f>
        <v/>
      </c>
      <c r="J49" s="9">
        <f>D49*I49</f>
        <v/>
      </c>
    </row>
    <row r="50">
      <c r="A50" s="7" t="n">
        <v>1</v>
      </c>
      <c r="B50" s="7" t="n">
        <v>2</v>
      </c>
      <c r="C50" s="8">
        <f>COUNTIFS(_Data_A!A:A,1,_Data_A!F:F,2)</f>
        <v/>
      </c>
      <c r="D50" s="9">
        <f>IF(C50=0,0,C50/498)</f>
        <v/>
      </c>
      <c r="E50" s="9">
        <f>IF(C50=0,0,COUNTIF(_Data_A!A:A,1)/498)</f>
        <v/>
      </c>
      <c r="F50" s="9">
        <f>IF(C50=0,0,COUNTIF(_Data_A!F:F,2)/498)</f>
        <v/>
      </c>
      <c r="G50" s="9">
        <f>IF(D50=0,0,E50*F50)</f>
        <v/>
      </c>
      <c r="H50" s="9">
        <f>IF(G50=0,0,D50/G50)</f>
        <v/>
      </c>
      <c r="I50" s="9">
        <f>IF(H50&lt;=0,0,LOG(H50,2))</f>
        <v/>
      </c>
      <c r="J50" s="9">
        <f>D50*I50</f>
        <v/>
      </c>
    </row>
    <row r="51">
      <c r="A51" s="7" t="n">
        <v>1</v>
      </c>
      <c r="B51" s="7" t="n">
        <v>3</v>
      </c>
      <c r="C51" s="8">
        <f>COUNTIFS(_Data_A!A:A,1,_Data_A!F:F,3)</f>
        <v/>
      </c>
      <c r="D51" s="9">
        <f>IF(C51=0,0,C51/498)</f>
        <v/>
      </c>
      <c r="E51" s="9">
        <f>IF(C51=0,0,COUNTIF(_Data_A!A:A,1)/498)</f>
        <v/>
      </c>
      <c r="F51" s="9">
        <f>IF(C51=0,0,COUNTIF(_Data_A!F:F,3)/498)</f>
        <v/>
      </c>
      <c r="G51" s="9">
        <f>IF(D51=0,0,E51*F51)</f>
        <v/>
      </c>
      <c r="H51" s="9">
        <f>IF(G51=0,0,D51/G51)</f>
        <v/>
      </c>
      <c r="I51" s="9">
        <f>IF(H51&lt;=0,0,LOG(H51,2))</f>
        <v/>
      </c>
      <c r="J51" s="9">
        <f>D51*I51</f>
        <v/>
      </c>
    </row>
    <row r="52">
      <c r="A52" s="2" t="inlineStr">
        <is>
          <t>IM(x1,x9) =</t>
        </is>
      </c>
      <c r="B52" s="26" t="n"/>
      <c r="C52" s="26" t="n"/>
      <c r="D52" s="26" t="n"/>
      <c r="E52" s="26" t="n"/>
      <c r="F52" s="26" t="n"/>
      <c r="G52" s="26" t="n"/>
      <c r="H52" s="26" t="n"/>
      <c r="I52" s="27" t="n"/>
      <c r="J52" s="11">
        <f>SUM(J44:J51)</f>
        <v/>
      </c>
    </row>
    <row r="55">
      <c r="A55" s="4" t="inlineStr">
        <is>
          <t>x1 — x3</t>
        </is>
      </c>
      <c r="B55" s="26" t="n"/>
      <c r="C55" s="26" t="n"/>
      <c r="D55" s="26" t="n"/>
      <c r="E55" s="26" t="n"/>
      <c r="F55" s="26" t="n"/>
      <c r="G55" s="26" t="n"/>
      <c r="H55" s="26" t="n"/>
      <c r="I55" s="26" t="n"/>
      <c r="J55" s="27" t="n"/>
    </row>
    <row r="56">
      <c r="A56" s="6" t="inlineStr">
        <is>
          <t>x1</t>
        </is>
      </c>
      <c r="B56" s="6" t="inlineStr">
        <is>
          <t>x3</t>
        </is>
      </c>
      <c r="C56" s="6" t="inlineStr">
        <is>
          <t>freq</t>
        </is>
      </c>
      <c r="D56" s="6" t="inlineStr">
        <is>
          <t>p(x1,x3)</t>
        </is>
      </c>
      <c r="E56" s="6" t="inlineStr">
        <is>
          <t>p(x1)</t>
        </is>
      </c>
      <c r="F56" s="6" t="inlineStr">
        <is>
          <t>p(x3)</t>
        </is>
      </c>
      <c r="G56" s="6" t="inlineStr">
        <is>
          <t>p(a)·p(b)</t>
        </is>
      </c>
      <c r="H56" s="6" t="inlineStr">
        <is>
          <t>ratio</t>
        </is>
      </c>
      <c r="I56" s="6" t="inlineStr">
        <is>
          <t>log₂(ratio)</t>
        </is>
      </c>
      <c r="J56" s="6" t="inlineStr">
        <is>
          <t>p·log₂(ratio)</t>
        </is>
      </c>
    </row>
    <row r="57">
      <c r="A57" s="7" t="n">
        <v>0</v>
      </c>
      <c r="B57" s="7" t="n">
        <v>0</v>
      </c>
      <c r="C57" s="8">
        <f>COUNTIFS(_Data_A!A:A,0,_Data_A!G:G,0)</f>
        <v/>
      </c>
      <c r="D57" s="9">
        <f>IF(C57=0,0,C57/498)</f>
        <v/>
      </c>
      <c r="E57" s="9">
        <f>IF(C57=0,0,COUNTIF(_Data_A!A:A,0)/498)</f>
        <v/>
      </c>
      <c r="F57" s="9">
        <f>IF(C57=0,0,COUNTIF(_Data_A!G:G,0)/498)</f>
        <v/>
      </c>
      <c r="G57" s="9">
        <f>IF(D57=0,0,E57*F57)</f>
        <v/>
      </c>
      <c r="H57" s="9">
        <f>IF(G57=0,0,D57/G57)</f>
        <v/>
      </c>
      <c r="I57" s="9">
        <f>IF(H57&lt;=0,0,LOG(H57,2))</f>
        <v/>
      </c>
      <c r="J57" s="9">
        <f>D57*I57</f>
        <v/>
      </c>
    </row>
    <row r="58">
      <c r="A58" s="7" t="n">
        <v>0</v>
      </c>
      <c r="B58" s="7" t="n">
        <v>2</v>
      </c>
      <c r="C58" s="8">
        <f>COUNTIFS(_Data_A!A:A,0,_Data_A!G:G,2)</f>
        <v/>
      </c>
      <c r="D58" s="9">
        <f>IF(C58=0,0,C58/498)</f>
        <v/>
      </c>
      <c r="E58" s="9">
        <f>IF(C58=0,0,COUNTIF(_Data_A!A:A,0)/498)</f>
        <v/>
      </c>
      <c r="F58" s="9">
        <f>IF(C58=0,0,COUNTIF(_Data_A!G:G,2)/498)</f>
        <v/>
      </c>
      <c r="G58" s="9">
        <f>IF(D58=0,0,E58*F58)</f>
        <v/>
      </c>
      <c r="H58" s="9">
        <f>IF(G58=0,0,D58/G58)</f>
        <v/>
      </c>
      <c r="I58" s="9">
        <f>IF(H58&lt;=0,0,LOG(H58,2))</f>
        <v/>
      </c>
      <c r="J58" s="9">
        <f>D58*I58</f>
        <v/>
      </c>
    </row>
    <row r="59">
      <c r="A59" s="7" t="n">
        <v>1</v>
      </c>
      <c r="B59" s="7" t="n">
        <v>0</v>
      </c>
      <c r="C59" s="8">
        <f>COUNTIFS(_Data_A!A:A,1,_Data_A!G:G,0)</f>
        <v/>
      </c>
      <c r="D59" s="9">
        <f>IF(C59=0,0,C59/498)</f>
        <v/>
      </c>
      <c r="E59" s="9">
        <f>IF(C59=0,0,COUNTIF(_Data_A!A:A,1)/498)</f>
        <v/>
      </c>
      <c r="F59" s="9">
        <f>IF(C59=0,0,COUNTIF(_Data_A!G:G,0)/498)</f>
        <v/>
      </c>
      <c r="G59" s="9">
        <f>IF(D59=0,0,E59*F59)</f>
        <v/>
      </c>
      <c r="H59" s="9">
        <f>IF(G59=0,0,D59/G59)</f>
        <v/>
      </c>
      <c r="I59" s="9">
        <f>IF(H59&lt;=0,0,LOG(H59,2))</f>
        <v/>
      </c>
      <c r="J59" s="9">
        <f>D59*I59</f>
        <v/>
      </c>
    </row>
    <row r="60">
      <c r="A60" s="7" t="n">
        <v>1</v>
      </c>
      <c r="B60" s="7" t="n">
        <v>2</v>
      </c>
      <c r="C60" s="8">
        <f>COUNTIFS(_Data_A!A:A,1,_Data_A!G:G,2)</f>
        <v/>
      </c>
      <c r="D60" s="9">
        <f>IF(C60=0,0,C60/498)</f>
        <v/>
      </c>
      <c r="E60" s="9">
        <f>IF(C60=0,0,COUNTIF(_Data_A!A:A,1)/498)</f>
        <v/>
      </c>
      <c r="F60" s="9">
        <f>IF(C60=0,0,COUNTIF(_Data_A!G:G,2)/498)</f>
        <v/>
      </c>
      <c r="G60" s="9">
        <f>IF(D60=0,0,E60*F60)</f>
        <v/>
      </c>
      <c r="H60" s="9">
        <f>IF(G60=0,0,D60/G60)</f>
        <v/>
      </c>
      <c r="I60" s="9">
        <f>IF(H60&lt;=0,0,LOG(H60,2))</f>
        <v/>
      </c>
      <c r="J60" s="9">
        <f>D60*I60</f>
        <v/>
      </c>
    </row>
    <row r="61">
      <c r="A61" s="2" t="inlineStr">
        <is>
          <t>IM(x1,x3) =</t>
        </is>
      </c>
      <c r="B61" s="26" t="n"/>
      <c r="C61" s="26" t="n"/>
      <c r="D61" s="26" t="n"/>
      <c r="E61" s="26" t="n"/>
      <c r="F61" s="26" t="n"/>
      <c r="G61" s="26" t="n"/>
      <c r="H61" s="26" t="n"/>
      <c r="I61" s="27" t="n"/>
      <c r="J61" s="11">
        <f>SUM(J57:J60)</f>
        <v/>
      </c>
    </row>
    <row r="64">
      <c r="A64" s="4" t="inlineStr">
        <is>
          <t>x2 — x5</t>
        </is>
      </c>
      <c r="B64" s="26" t="n"/>
      <c r="C64" s="26" t="n"/>
      <c r="D64" s="26" t="n"/>
      <c r="E64" s="26" t="n"/>
      <c r="F64" s="26" t="n"/>
      <c r="G64" s="26" t="n"/>
      <c r="H64" s="26" t="n"/>
      <c r="I64" s="26" t="n"/>
      <c r="J64" s="27" t="n"/>
    </row>
    <row r="65">
      <c r="A65" s="6" t="inlineStr">
        <is>
          <t>x2</t>
        </is>
      </c>
      <c r="B65" s="6" t="inlineStr">
        <is>
          <t>x5</t>
        </is>
      </c>
      <c r="C65" s="6" t="inlineStr">
        <is>
          <t>freq</t>
        </is>
      </c>
      <c r="D65" s="6" t="inlineStr">
        <is>
          <t>p(x2,x5)</t>
        </is>
      </c>
      <c r="E65" s="6" t="inlineStr">
        <is>
          <t>p(x2)</t>
        </is>
      </c>
      <c r="F65" s="6" t="inlineStr">
        <is>
          <t>p(x5)</t>
        </is>
      </c>
      <c r="G65" s="6" t="inlineStr">
        <is>
          <t>p(a)·p(b)</t>
        </is>
      </c>
      <c r="H65" s="6" t="inlineStr">
        <is>
          <t>ratio</t>
        </is>
      </c>
      <c r="I65" s="6" t="inlineStr">
        <is>
          <t>log₂(ratio)</t>
        </is>
      </c>
      <c r="J65" s="6" t="inlineStr">
        <is>
          <t>p·log₂(ratio)</t>
        </is>
      </c>
    </row>
    <row r="66">
      <c r="A66" s="7" t="n">
        <v>0</v>
      </c>
      <c r="B66" s="7" t="n">
        <v>0</v>
      </c>
      <c r="C66" s="8">
        <f>COUNTIFS(_Data_A!B:B,0,_Data_A!C:C,0)</f>
        <v/>
      </c>
      <c r="D66" s="9">
        <f>IF(C66=0,0,C66/498)</f>
        <v/>
      </c>
      <c r="E66" s="9">
        <f>IF(C66=0,0,COUNTIF(_Data_A!B:B,0)/498)</f>
        <v/>
      </c>
      <c r="F66" s="9">
        <f>IF(C66=0,0,COUNTIF(_Data_A!C:C,0)/498)</f>
        <v/>
      </c>
      <c r="G66" s="9">
        <f>IF(D66=0,0,E66*F66)</f>
        <v/>
      </c>
      <c r="H66" s="9">
        <f>IF(G66=0,0,D66/G66)</f>
        <v/>
      </c>
      <c r="I66" s="9">
        <f>IF(H66&lt;=0,0,LOG(H66,2))</f>
        <v/>
      </c>
      <c r="J66" s="9">
        <f>D66*I66</f>
        <v/>
      </c>
    </row>
    <row r="67">
      <c r="A67" s="7" t="n">
        <v>0</v>
      </c>
      <c r="B67" s="7" t="n">
        <v>1</v>
      </c>
      <c r="C67" s="8">
        <f>COUNTIFS(_Data_A!B:B,0,_Data_A!C:C,1)</f>
        <v/>
      </c>
      <c r="D67" s="9">
        <f>IF(C67=0,0,C67/498)</f>
        <v/>
      </c>
      <c r="E67" s="9">
        <f>IF(C67=0,0,COUNTIF(_Data_A!B:B,0)/498)</f>
        <v/>
      </c>
      <c r="F67" s="9">
        <f>IF(C67=0,0,COUNTIF(_Data_A!C:C,1)/498)</f>
        <v/>
      </c>
      <c r="G67" s="9">
        <f>IF(D67=0,0,E67*F67)</f>
        <v/>
      </c>
      <c r="H67" s="9">
        <f>IF(G67=0,0,D67/G67)</f>
        <v/>
      </c>
      <c r="I67" s="9">
        <f>IF(H67&lt;=0,0,LOG(H67,2))</f>
        <v/>
      </c>
      <c r="J67" s="9">
        <f>D67*I67</f>
        <v/>
      </c>
    </row>
    <row r="68">
      <c r="A68" s="7" t="n">
        <v>0</v>
      </c>
      <c r="B68" s="7" t="n">
        <v>2</v>
      </c>
      <c r="C68" s="8">
        <f>COUNTIFS(_Data_A!B:B,0,_Data_A!C:C,2)</f>
        <v/>
      </c>
      <c r="D68" s="9">
        <f>IF(C68=0,0,C68/498)</f>
        <v/>
      </c>
      <c r="E68" s="9">
        <f>IF(C68=0,0,COUNTIF(_Data_A!B:B,0)/498)</f>
        <v/>
      </c>
      <c r="F68" s="9">
        <f>IF(C68=0,0,COUNTIF(_Data_A!C:C,2)/498)</f>
        <v/>
      </c>
      <c r="G68" s="9">
        <f>IF(D68=0,0,E68*F68)</f>
        <v/>
      </c>
      <c r="H68" s="9">
        <f>IF(G68=0,0,D68/G68)</f>
        <v/>
      </c>
      <c r="I68" s="9">
        <f>IF(H68&lt;=0,0,LOG(H68,2))</f>
        <v/>
      </c>
      <c r="J68" s="9">
        <f>D68*I68</f>
        <v/>
      </c>
    </row>
    <row r="69">
      <c r="A69" s="7" t="n">
        <v>1</v>
      </c>
      <c r="B69" s="7" t="n">
        <v>0</v>
      </c>
      <c r="C69" s="8">
        <f>COUNTIFS(_Data_A!B:B,1,_Data_A!C:C,0)</f>
        <v/>
      </c>
      <c r="D69" s="9">
        <f>IF(C69=0,0,C69/498)</f>
        <v/>
      </c>
      <c r="E69" s="9">
        <f>IF(C69=0,0,COUNTIF(_Data_A!B:B,1)/498)</f>
        <v/>
      </c>
      <c r="F69" s="9">
        <f>IF(C69=0,0,COUNTIF(_Data_A!C:C,0)/498)</f>
        <v/>
      </c>
      <c r="G69" s="9">
        <f>IF(D69=0,0,E69*F69)</f>
        <v/>
      </c>
      <c r="H69" s="9">
        <f>IF(G69=0,0,D69/G69)</f>
        <v/>
      </c>
      <c r="I69" s="9">
        <f>IF(H69&lt;=0,0,LOG(H69,2))</f>
        <v/>
      </c>
      <c r="J69" s="9">
        <f>D69*I69</f>
        <v/>
      </c>
    </row>
    <row r="70">
      <c r="A70" s="7" t="n">
        <v>1</v>
      </c>
      <c r="B70" s="7" t="n">
        <v>1</v>
      </c>
      <c r="C70" s="8">
        <f>COUNTIFS(_Data_A!B:B,1,_Data_A!C:C,1)</f>
        <v/>
      </c>
      <c r="D70" s="9">
        <f>IF(C70=0,0,C70/498)</f>
        <v/>
      </c>
      <c r="E70" s="9">
        <f>IF(C70=0,0,COUNTIF(_Data_A!B:B,1)/498)</f>
        <v/>
      </c>
      <c r="F70" s="9">
        <f>IF(C70=0,0,COUNTIF(_Data_A!C:C,1)/498)</f>
        <v/>
      </c>
      <c r="G70" s="9">
        <f>IF(D70=0,0,E70*F70)</f>
        <v/>
      </c>
      <c r="H70" s="9">
        <f>IF(G70=0,0,D70/G70)</f>
        <v/>
      </c>
      <c r="I70" s="9">
        <f>IF(H70&lt;=0,0,LOG(H70,2))</f>
        <v/>
      </c>
      <c r="J70" s="9">
        <f>D70*I70</f>
        <v/>
      </c>
    </row>
    <row r="71">
      <c r="A71" s="7" t="n">
        <v>1</v>
      </c>
      <c r="B71" s="7" t="n">
        <v>2</v>
      </c>
      <c r="C71" s="8">
        <f>COUNTIFS(_Data_A!B:B,1,_Data_A!C:C,2)</f>
        <v/>
      </c>
      <c r="D71" s="9">
        <f>IF(C71=0,0,C71/498)</f>
        <v/>
      </c>
      <c r="E71" s="9">
        <f>IF(C71=0,0,COUNTIF(_Data_A!B:B,1)/498)</f>
        <v/>
      </c>
      <c r="F71" s="9">
        <f>IF(C71=0,0,COUNTIF(_Data_A!C:C,2)/498)</f>
        <v/>
      </c>
      <c r="G71" s="9">
        <f>IF(D71=0,0,E71*F71)</f>
        <v/>
      </c>
      <c r="H71" s="9">
        <f>IF(G71=0,0,D71/G71)</f>
        <v/>
      </c>
      <c r="I71" s="9">
        <f>IF(H71&lt;=0,0,LOG(H71,2))</f>
        <v/>
      </c>
      <c r="J71" s="9">
        <f>D71*I71</f>
        <v/>
      </c>
    </row>
    <row r="72">
      <c r="A72" s="2" t="inlineStr">
        <is>
          <t>IM(x2,x5) =</t>
        </is>
      </c>
      <c r="B72" s="26" t="n"/>
      <c r="C72" s="26" t="n"/>
      <c r="D72" s="26" t="n"/>
      <c r="E72" s="26" t="n"/>
      <c r="F72" s="26" t="n"/>
      <c r="G72" s="26" t="n"/>
      <c r="H72" s="26" t="n"/>
      <c r="I72" s="27" t="n"/>
      <c r="J72" s="11">
        <f>SUM(J66:J71)</f>
        <v/>
      </c>
    </row>
    <row r="75">
      <c r="A75" s="4" t="inlineStr">
        <is>
          <t>x2 — x4</t>
        </is>
      </c>
      <c r="B75" s="26" t="n"/>
      <c r="C75" s="26" t="n"/>
      <c r="D75" s="26" t="n"/>
      <c r="E75" s="26" t="n"/>
      <c r="F75" s="26" t="n"/>
      <c r="G75" s="26" t="n"/>
      <c r="H75" s="26" t="n"/>
      <c r="I75" s="26" t="n"/>
      <c r="J75" s="27" t="n"/>
    </row>
    <row r="76">
      <c r="A76" s="6" t="inlineStr">
        <is>
          <t>x2</t>
        </is>
      </c>
      <c r="B76" s="6" t="inlineStr">
        <is>
          <t>x4</t>
        </is>
      </c>
      <c r="C76" s="6" t="inlineStr">
        <is>
          <t>freq</t>
        </is>
      </c>
      <c r="D76" s="6" t="inlineStr">
        <is>
          <t>p(x2,x4)</t>
        </is>
      </c>
      <c r="E76" s="6" t="inlineStr">
        <is>
          <t>p(x2)</t>
        </is>
      </c>
      <c r="F76" s="6" t="inlineStr">
        <is>
          <t>p(x4)</t>
        </is>
      </c>
      <c r="G76" s="6" t="inlineStr">
        <is>
          <t>p(a)·p(b)</t>
        </is>
      </c>
      <c r="H76" s="6" t="inlineStr">
        <is>
          <t>ratio</t>
        </is>
      </c>
      <c r="I76" s="6" t="inlineStr">
        <is>
          <t>log₂(ratio)</t>
        </is>
      </c>
      <c r="J76" s="6" t="inlineStr">
        <is>
          <t>p·log₂(ratio)</t>
        </is>
      </c>
    </row>
    <row r="77">
      <c r="A77" s="7" t="n">
        <v>0</v>
      </c>
      <c r="B77" s="7" t="n">
        <v>0</v>
      </c>
      <c r="C77" s="8">
        <f>COUNTIFS(_Data_A!B:B,0,_Data_A!D:D,0)</f>
        <v/>
      </c>
      <c r="D77" s="9">
        <f>IF(C77=0,0,C77/498)</f>
        <v/>
      </c>
      <c r="E77" s="9">
        <f>IF(C77=0,0,COUNTIF(_Data_A!B:B,0)/498)</f>
        <v/>
      </c>
      <c r="F77" s="9">
        <f>IF(C77=0,0,COUNTIF(_Data_A!D:D,0)/498)</f>
        <v/>
      </c>
      <c r="G77" s="9">
        <f>IF(D77=0,0,E77*F77)</f>
        <v/>
      </c>
      <c r="H77" s="9">
        <f>IF(G77=0,0,D77/G77)</f>
        <v/>
      </c>
      <c r="I77" s="9">
        <f>IF(H77&lt;=0,0,LOG(H77,2))</f>
        <v/>
      </c>
      <c r="J77" s="9">
        <f>D77*I77</f>
        <v/>
      </c>
    </row>
    <row r="78">
      <c r="A78" s="7" t="n">
        <v>0</v>
      </c>
      <c r="B78" s="7" t="n">
        <v>1</v>
      </c>
      <c r="C78" s="8">
        <f>COUNTIFS(_Data_A!B:B,0,_Data_A!D:D,1)</f>
        <v/>
      </c>
      <c r="D78" s="9">
        <f>IF(C78=0,0,C78/498)</f>
        <v/>
      </c>
      <c r="E78" s="9">
        <f>IF(C78=0,0,COUNTIF(_Data_A!B:B,0)/498)</f>
        <v/>
      </c>
      <c r="F78" s="9">
        <f>IF(C78=0,0,COUNTIF(_Data_A!D:D,1)/498)</f>
        <v/>
      </c>
      <c r="G78" s="9">
        <f>IF(D78=0,0,E78*F78)</f>
        <v/>
      </c>
      <c r="H78" s="9">
        <f>IF(G78=0,0,D78/G78)</f>
        <v/>
      </c>
      <c r="I78" s="9">
        <f>IF(H78&lt;=0,0,LOG(H78,2))</f>
        <v/>
      </c>
      <c r="J78" s="9">
        <f>D78*I78</f>
        <v/>
      </c>
    </row>
    <row r="79">
      <c r="A79" s="7" t="n">
        <v>1</v>
      </c>
      <c r="B79" s="7" t="n">
        <v>0</v>
      </c>
      <c r="C79" s="8">
        <f>COUNTIFS(_Data_A!B:B,1,_Data_A!D:D,0)</f>
        <v/>
      </c>
      <c r="D79" s="9">
        <f>IF(C79=0,0,C79/498)</f>
        <v/>
      </c>
      <c r="E79" s="9">
        <f>IF(C79=0,0,COUNTIF(_Data_A!B:B,1)/498)</f>
        <v/>
      </c>
      <c r="F79" s="9">
        <f>IF(C79=0,0,COUNTIF(_Data_A!D:D,0)/498)</f>
        <v/>
      </c>
      <c r="G79" s="9">
        <f>IF(D79=0,0,E79*F79)</f>
        <v/>
      </c>
      <c r="H79" s="9">
        <f>IF(G79=0,0,D79/G79)</f>
        <v/>
      </c>
      <c r="I79" s="9">
        <f>IF(H79&lt;=0,0,LOG(H79,2))</f>
        <v/>
      </c>
      <c r="J79" s="9">
        <f>D79*I79</f>
        <v/>
      </c>
    </row>
    <row r="80">
      <c r="A80" s="7" t="n">
        <v>1</v>
      </c>
      <c r="B80" s="7" t="n">
        <v>1</v>
      </c>
      <c r="C80" s="8">
        <f>COUNTIFS(_Data_A!B:B,1,_Data_A!D:D,1)</f>
        <v/>
      </c>
      <c r="D80" s="9">
        <f>IF(C80=0,0,C80/498)</f>
        <v/>
      </c>
      <c r="E80" s="9">
        <f>IF(C80=0,0,COUNTIF(_Data_A!B:B,1)/498)</f>
        <v/>
      </c>
      <c r="F80" s="9">
        <f>IF(C80=0,0,COUNTIF(_Data_A!D:D,1)/498)</f>
        <v/>
      </c>
      <c r="G80" s="9">
        <f>IF(D80=0,0,E80*F80)</f>
        <v/>
      </c>
      <c r="H80" s="9">
        <f>IF(G80=0,0,D80/G80)</f>
        <v/>
      </c>
      <c r="I80" s="9">
        <f>IF(H80&lt;=0,0,LOG(H80,2))</f>
        <v/>
      </c>
      <c r="J80" s="9">
        <f>D80*I80</f>
        <v/>
      </c>
    </row>
    <row r="81">
      <c r="A81" s="2" t="inlineStr">
        <is>
          <t>IM(x2,x4) =</t>
        </is>
      </c>
      <c r="B81" s="26" t="n"/>
      <c r="C81" s="26" t="n"/>
      <c r="D81" s="26" t="n"/>
      <c r="E81" s="26" t="n"/>
      <c r="F81" s="26" t="n"/>
      <c r="G81" s="26" t="n"/>
      <c r="H81" s="26" t="n"/>
      <c r="I81" s="27" t="n"/>
      <c r="J81" s="11">
        <f>SUM(J77:J80)</f>
        <v/>
      </c>
    </row>
    <row r="84">
      <c r="A84" s="4" t="inlineStr">
        <is>
          <t>x2 — x6</t>
        </is>
      </c>
      <c r="B84" s="26" t="n"/>
      <c r="C84" s="26" t="n"/>
      <c r="D84" s="26" t="n"/>
      <c r="E84" s="26" t="n"/>
      <c r="F84" s="26" t="n"/>
      <c r="G84" s="26" t="n"/>
      <c r="H84" s="26" t="n"/>
      <c r="I84" s="26" t="n"/>
      <c r="J84" s="27" t="n"/>
    </row>
    <row r="85">
      <c r="A85" s="6" t="inlineStr">
        <is>
          <t>x2</t>
        </is>
      </c>
      <c r="B85" s="6" t="inlineStr">
        <is>
          <t>x6</t>
        </is>
      </c>
      <c r="C85" s="6" t="inlineStr">
        <is>
          <t>freq</t>
        </is>
      </c>
      <c r="D85" s="6" t="inlineStr">
        <is>
          <t>p(x2,x6)</t>
        </is>
      </c>
      <c r="E85" s="6" t="inlineStr">
        <is>
          <t>p(x2)</t>
        </is>
      </c>
      <c r="F85" s="6" t="inlineStr">
        <is>
          <t>p(x6)</t>
        </is>
      </c>
      <c r="G85" s="6" t="inlineStr">
        <is>
          <t>p(a)·p(b)</t>
        </is>
      </c>
      <c r="H85" s="6" t="inlineStr">
        <is>
          <t>ratio</t>
        </is>
      </c>
      <c r="I85" s="6" t="inlineStr">
        <is>
          <t>log₂(ratio)</t>
        </is>
      </c>
      <c r="J85" s="6" t="inlineStr">
        <is>
          <t>p·log₂(ratio)</t>
        </is>
      </c>
    </row>
    <row r="86">
      <c r="A86" s="7" t="n">
        <v>0</v>
      </c>
      <c r="B86" s="7" t="n">
        <v>0</v>
      </c>
      <c r="C86" s="8">
        <f>COUNTIFS(_Data_A!B:B,0,_Data_A!E:E,0)</f>
        <v/>
      </c>
      <c r="D86" s="9">
        <f>IF(C86=0,0,C86/498)</f>
        <v/>
      </c>
      <c r="E86" s="9">
        <f>IF(C86=0,0,COUNTIF(_Data_A!B:B,0)/498)</f>
        <v/>
      </c>
      <c r="F86" s="9">
        <f>IF(C86=0,0,COUNTIF(_Data_A!E:E,0)/498)</f>
        <v/>
      </c>
      <c r="G86" s="9">
        <f>IF(D86=0,0,E86*F86)</f>
        <v/>
      </c>
      <c r="H86" s="9">
        <f>IF(G86=0,0,D86/G86)</f>
        <v/>
      </c>
      <c r="I86" s="9">
        <f>IF(H86&lt;=0,0,LOG(H86,2))</f>
        <v/>
      </c>
      <c r="J86" s="9">
        <f>D86*I86</f>
        <v/>
      </c>
    </row>
    <row r="87">
      <c r="A87" s="7" t="n">
        <v>0</v>
      </c>
      <c r="B87" s="7" t="n">
        <v>1</v>
      </c>
      <c r="C87" s="8">
        <f>COUNTIFS(_Data_A!B:B,0,_Data_A!E:E,1)</f>
        <v/>
      </c>
      <c r="D87" s="9">
        <f>IF(C87=0,0,C87/498)</f>
        <v/>
      </c>
      <c r="E87" s="9">
        <f>IF(C87=0,0,COUNTIF(_Data_A!B:B,0)/498)</f>
        <v/>
      </c>
      <c r="F87" s="9">
        <f>IF(C87=0,0,COUNTIF(_Data_A!E:E,1)/498)</f>
        <v/>
      </c>
      <c r="G87" s="9">
        <f>IF(D87=0,0,E87*F87)</f>
        <v/>
      </c>
      <c r="H87" s="9">
        <f>IF(G87=0,0,D87/G87)</f>
        <v/>
      </c>
      <c r="I87" s="9">
        <f>IF(H87&lt;=0,0,LOG(H87,2))</f>
        <v/>
      </c>
      <c r="J87" s="9">
        <f>D87*I87</f>
        <v/>
      </c>
    </row>
    <row r="88">
      <c r="A88" s="7" t="n">
        <v>1</v>
      </c>
      <c r="B88" s="7" t="n">
        <v>0</v>
      </c>
      <c r="C88" s="8">
        <f>COUNTIFS(_Data_A!B:B,1,_Data_A!E:E,0)</f>
        <v/>
      </c>
      <c r="D88" s="9">
        <f>IF(C88=0,0,C88/498)</f>
        <v/>
      </c>
      <c r="E88" s="9">
        <f>IF(C88=0,0,COUNTIF(_Data_A!B:B,1)/498)</f>
        <v/>
      </c>
      <c r="F88" s="9">
        <f>IF(C88=0,0,COUNTIF(_Data_A!E:E,0)/498)</f>
        <v/>
      </c>
      <c r="G88" s="9">
        <f>IF(D88=0,0,E88*F88)</f>
        <v/>
      </c>
      <c r="H88" s="9">
        <f>IF(G88=0,0,D88/G88)</f>
        <v/>
      </c>
      <c r="I88" s="9">
        <f>IF(H88&lt;=0,0,LOG(H88,2))</f>
        <v/>
      </c>
      <c r="J88" s="9">
        <f>D88*I88</f>
        <v/>
      </c>
    </row>
    <row r="89">
      <c r="A89" s="7" t="n">
        <v>1</v>
      </c>
      <c r="B89" s="7" t="n">
        <v>1</v>
      </c>
      <c r="C89" s="8">
        <f>COUNTIFS(_Data_A!B:B,1,_Data_A!E:E,1)</f>
        <v/>
      </c>
      <c r="D89" s="9">
        <f>IF(C89=0,0,C89/498)</f>
        <v/>
      </c>
      <c r="E89" s="9">
        <f>IF(C89=0,0,COUNTIF(_Data_A!B:B,1)/498)</f>
        <v/>
      </c>
      <c r="F89" s="9">
        <f>IF(C89=0,0,COUNTIF(_Data_A!E:E,1)/498)</f>
        <v/>
      </c>
      <c r="G89" s="9">
        <f>IF(D89=0,0,E89*F89)</f>
        <v/>
      </c>
      <c r="H89" s="9">
        <f>IF(G89=0,0,D89/G89)</f>
        <v/>
      </c>
      <c r="I89" s="9">
        <f>IF(H89&lt;=0,0,LOG(H89,2))</f>
        <v/>
      </c>
      <c r="J89" s="9">
        <f>D89*I89</f>
        <v/>
      </c>
    </row>
    <row r="90">
      <c r="A90" s="2" t="inlineStr">
        <is>
          <t>IM(x2,x6) =</t>
        </is>
      </c>
      <c r="B90" s="26" t="n"/>
      <c r="C90" s="26" t="n"/>
      <c r="D90" s="26" t="n"/>
      <c r="E90" s="26" t="n"/>
      <c r="F90" s="26" t="n"/>
      <c r="G90" s="26" t="n"/>
      <c r="H90" s="26" t="n"/>
      <c r="I90" s="27" t="n"/>
      <c r="J90" s="11">
        <f>SUM(J86:J89)</f>
        <v/>
      </c>
    </row>
    <row r="93">
      <c r="A93" s="4" t="inlineStr">
        <is>
          <t>x2 — x9</t>
        </is>
      </c>
      <c r="B93" s="26" t="n"/>
      <c r="C93" s="26" t="n"/>
      <c r="D93" s="26" t="n"/>
      <c r="E93" s="26" t="n"/>
      <c r="F93" s="26" t="n"/>
      <c r="G93" s="26" t="n"/>
      <c r="H93" s="26" t="n"/>
      <c r="I93" s="26" t="n"/>
      <c r="J93" s="27" t="n"/>
    </row>
    <row r="94">
      <c r="A94" s="6" t="inlineStr">
        <is>
          <t>x2</t>
        </is>
      </c>
      <c r="B94" s="6" t="inlineStr">
        <is>
          <t>x9</t>
        </is>
      </c>
      <c r="C94" s="6" t="inlineStr">
        <is>
          <t>freq</t>
        </is>
      </c>
      <c r="D94" s="6" t="inlineStr">
        <is>
          <t>p(x2,x9)</t>
        </is>
      </c>
      <c r="E94" s="6" t="inlineStr">
        <is>
          <t>p(x2)</t>
        </is>
      </c>
      <c r="F94" s="6" t="inlineStr">
        <is>
          <t>p(x9)</t>
        </is>
      </c>
      <c r="G94" s="6" t="inlineStr">
        <is>
          <t>p(a)·p(b)</t>
        </is>
      </c>
      <c r="H94" s="6" t="inlineStr">
        <is>
          <t>ratio</t>
        </is>
      </c>
      <c r="I94" s="6" t="inlineStr">
        <is>
          <t>log₂(ratio)</t>
        </is>
      </c>
      <c r="J94" s="6" t="inlineStr">
        <is>
          <t>p·log₂(ratio)</t>
        </is>
      </c>
    </row>
    <row r="95">
      <c r="A95" s="7" t="n">
        <v>0</v>
      </c>
      <c r="B95" s="7" t="n">
        <v>0</v>
      </c>
      <c r="C95" s="8">
        <f>COUNTIFS(_Data_A!B:B,0,_Data_A!F:F,0)</f>
        <v/>
      </c>
      <c r="D95" s="9">
        <f>IF(C95=0,0,C95/498)</f>
        <v/>
      </c>
      <c r="E95" s="9">
        <f>IF(C95=0,0,COUNTIF(_Data_A!B:B,0)/498)</f>
        <v/>
      </c>
      <c r="F95" s="9">
        <f>IF(C95=0,0,COUNTIF(_Data_A!F:F,0)/498)</f>
        <v/>
      </c>
      <c r="G95" s="9">
        <f>IF(D95=0,0,E95*F95)</f>
        <v/>
      </c>
      <c r="H95" s="9">
        <f>IF(G95=0,0,D95/G95)</f>
        <v/>
      </c>
      <c r="I95" s="9">
        <f>IF(H95&lt;=0,0,LOG(H95,2))</f>
        <v/>
      </c>
      <c r="J95" s="9">
        <f>D95*I95</f>
        <v/>
      </c>
    </row>
    <row r="96">
      <c r="A96" s="7" t="n">
        <v>0</v>
      </c>
      <c r="B96" s="7" t="n">
        <v>1</v>
      </c>
      <c r="C96" s="8">
        <f>COUNTIFS(_Data_A!B:B,0,_Data_A!F:F,1)</f>
        <v/>
      </c>
      <c r="D96" s="9">
        <f>IF(C96=0,0,C96/498)</f>
        <v/>
      </c>
      <c r="E96" s="9">
        <f>IF(C96=0,0,COUNTIF(_Data_A!B:B,0)/498)</f>
        <v/>
      </c>
      <c r="F96" s="9">
        <f>IF(C96=0,0,COUNTIF(_Data_A!F:F,1)/498)</f>
        <v/>
      </c>
      <c r="G96" s="9">
        <f>IF(D96=0,0,E96*F96)</f>
        <v/>
      </c>
      <c r="H96" s="9">
        <f>IF(G96=0,0,D96/G96)</f>
        <v/>
      </c>
      <c r="I96" s="9">
        <f>IF(H96&lt;=0,0,LOG(H96,2))</f>
        <v/>
      </c>
      <c r="J96" s="9">
        <f>D96*I96</f>
        <v/>
      </c>
    </row>
    <row r="97">
      <c r="A97" s="7" t="n">
        <v>0</v>
      </c>
      <c r="B97" s="7" t="n">
        <v>2</v>
      </c>
      <c r="C97" s="8">
        <f>COUNTIFS(_Data_A!B:B,0,_Data_A!F:F,2)</f>
        <v/>
      </c>
      <c r="D97" s="9">
        <f>IF(C97=0,0,C97/498)</f>
        <v/>
      </c>
      <c r="E97" s="9">
        <f>IF(C97=0,0,COUNTIF(_Data_A!B:B,0)/498)</f>
        <v/>
      </c>
      <c r="F97" s="9">
        <f>IF(C97=0,0,COUNTIF(_Data_A!F:F,2)/498)</f>
        <v/>
      </c>
      <c r="G97" s="9">
        <f>IF(D97=0,0,E97*F97)</f>
        <v/>
      </c>
      <c r="H97" s="9">
        <f>IF(G97=0,0,D97/G97)</f>
        <v/>
      </c>
      <c r="I97" s="9">
        <f>IF(H97&lt;=0,0,LOG(H97,2))</f>
        <v/>
      </c>
      <c r="J97" s="9">
        <f>D97*I97</f>
        <v/>
      </c>
    </row>
    <row r="98">
      <c r="A98" s="7" t="n">
        <v>0</v>
      </c>
      <c r="B98" s="7" t="n">
        <v>3</v>
      </c>
      <c r="C98" s="8">
        <f>COUNTIFS(_Data_A!B:B,0,_Data_A!F:F,3)</f>
        <v/>
      </c>
      <c r="D98" s="9">
        <f>IF(C98=0,0,C98/498)</f>
        <v/>
      </c>
      <c r="E98" s="9">
        <f>IF(C98=0,0,COUNTIF(_Data_A!B:B,0)/498)</f>
        <v/>
      </c>
      <c r="F98" s="9">
        <f>IF(C98=0,0,COUNTIF(_Data_A!F:F,3)/498)</f>
        <v/>
      </c>
      <c r="G98" s="9">
        <f>IF(D98=0,0,E98*F98)</f>
        <v/>
      </c>
      <c r="H98" s="9">
        <f>IF(G98=0,0,D98/G98)</f>
        <v/>
      </c>
      <c r="I98" s="9">
        <f>IF(H98&lt;=0,0,LOG(H98,2))</f>
        <v/>
      </c>
      <c r="J98" s="9">
        <f>D98*I98</f>
        <v/>
      </c>
    </row>
    <row r="99">
      <c r="A99" s="7" t="n">
        <v>1</v>
      </c>
      <c r="B99" s="7" t="n">
        <v>0</v>
      </c>
      <c r="C99" s="8">
        <f>COUNTIFS(_Data_A!B:B,1,_Data_A!F:F,0)</f>
        <v/>
      </c>
      <c r="D99" s="9">
        <f>IF(C99=0,0,C99/498)</f>
        <v/>
      </c>
      <c r="E99" s="9">
        <f>IF(C99=0,0,COUNTIF(_Data_A!B:B,1)/498)</f>
        <v/>
      </c>
      <c r="F99" s="9">
        <f>IF(C99=0,0,COUNTIF(_Data_A!F:F,0)/498)</f>
        <v/>
      </c>
      <c r="G99" s="9">
        <f>IF(D99=0,0,E99*F99)</f>
        <v/>
      </c>
      <c r="H99" s="9">
        <f>IF(G99=0,0,D99/G99)</f>
        <v/>
      </c>
      <c r="I99" s="9">
        <f>IF(H99&lt;=0,0,LOG(H99,2))</f>
        <v/>
      </c>
      <c r="J99" s="9">
        <f>D99*I99</f>
        <v/>
      </c>
    </row>
    <row r="100">
      <c r="A100" s="7" t="n">
        <v>1</v>
      </c>
      <c r="B100" s="7" t="n">
        <v>1</v>
      </c>
      <c r="C100" s="8">
        <f>COUNTIFS(_Data_A!B:B,1,_Data_A!F:F,1)</f>
        <v/>
      </c>
      <c r="D100" s="9">
        <f>IF(C100=0,0,C100/498)</f>
        <v/>
      </c>
      <c r="E100" s="9">
        <f>IF(C100=0,0,COUNTIF(_Data_A!B:B,1)/498)</f>
        <v/>
      </c>
      <c r="F100" s="9">
        <f>IF(C100=0,0,COUNTIF(_Data_A!F:F,1)/498)</f>
        <v/>
      </c>
      <c r="G100" s="9">
        <f>IF(D100=0,0,E100*F100)</f>
        <v/>
      </c>
      <c r="H100" s="9">
        <f>IF(G100=0,0,D100/G100)</f>
        <v/>
      </c>
      <c r="I100" s="9">
        <f>IF(H100&lt;=0,0,LOG(H100,2))</f>
        <v/>
      </c>
      <c r="J100" s="9">
        <f>D100*I100</f>
        <v/>
      </c>
    </row>
    <row r="101">
      <c r="A101" s="7" t="n">
        <v>1</v>
      </c>
      <c r="B101" s="7" t="n">
        <v>2</v>
      </c>
      <c r="C101" s="8">
        <f>COUNTIFS(_Data_A!B:B,1,_Data_A!F:F,2)</f>
        <v/>
      </c>
      <c r="D101" s="9">
        <f>IF(C101=0,0,C101/498)</f>
        <v/>
      </c>
      <c r="E101" s="9">
        <f>IF(C101=0,0,COUNTIF(_Data_A!B:B,1)/498)</f>
        <v/>
      </c>
      <c r="F101" s="9">
        <f>IF(C101=0,0,COUNTIF(_Data_A!F:F,2)/498)</f>
        <v/>
      </c>
      <c r="G101" s="9">
        <f>IF(D101=0,0,E101*F101)</f>
        <v/>
      </c>
      <c r="H101" s="9">
        <f>IF(G101=0,0,D101/G101)</f>
        <v/>
      </c>
      <c r="I101" s="9">
        <f>IF(H101&lt;=0,0,LOG(H101,2))</f>
        <v/>
      </c>
      <c r="J101" s="9">
        <f>D101*I101</f>
        <v/>
      </c>
    </row>
    <row r="102">
      <c r="A102" s="7" t="n">
        <v>1</v>
      </c>
      <c r="B102" s="7" t="n">
        <v>3</v>
      </c>
      <c r="C102" s="8">
        <f>COUNTIFS(_Data_A!B:B,1,_Data_A!F:F,3)</f>
        <v/>
      </c>
      <c r="D102" s="9">
        <f>IF(C102=0,0,C102/498)</f>
        <v/>
      </c>
      <c r="E102" s="9">
        <f>IF(C102=0,0,COUNTIF(_Data_A!B:B,1)/498)</f>
        <v/>
      </c>
      <c r="F102" s="9">
        <f>IF(C102=0,0,COUNTIF(_Data_A!F:F,3)/498)</f>
        <v/>
      </c>
      <c r="G102" s="9">
        <f>IF(D102=0,0,E102*F102)</f>
        <v/>
      </c>
      <c r="H102" s="9">
        <f>IF(G102=0,0,D102/G102)</f>
        <v/>
      </c>
      <c r="I102" s="9">
        <f>IF(H102&lt;=0,0,LOG(H102,2))</f>
        <v/>
      </c>
      <c r="J102" s="9">
        <f>D102*I102</f>
        <v/>
      </c>
    </row>
    <row r="103">
      <c r="A103" s="2" t="inlineStr">
        <is>
          <t>IM(x2,x9) =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7" t="n"/>
      <c r="J103" s="11">
        <f>SUM(J95:J102)</f>
        <v/>
      </c>
    </row>
    <row r="106">
      <c r="A106" s="4" t="inlineStr">
        <is>
          <t>x2 — x3</t>
        </is>
      </c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7" t="n"/>
    </row>
    <row r="107">
      <c r="A107" s="6" t="inlineStr">
        <is>
          <t>x2</t>
        </is>
      </c>
      <c r="B107" s="6" t="inlineStr">
        <is>
          <t>x3</t>
        </is>
      </c>
      <c r="C107" s="6" t="inlineStr">
        <is>
          <t>freq</t>
        </is>
      </c>
      <c r="D107" s="6" t="inlineStr">
        <is>
          <t>p(x2,x3)</t>
        </is>
      </c>
      <c r="E107" s="6" t="inlineStr">
        <is>
          <t>p(x2)</t>
        </is>
      </c>
      <c r="F107" s="6" t="inlineStr">
        <is>
          <t>p(x3)</t>
        </is>
      </c>
      <c r="G107" s="6" t="inlineStr">
        <is>
          <t>p(a)·p(b)</t>
        </is>
      </c>
      <c r="H107" s="6" t="inlineStr">
        <is>
          <t>ratio</t>
        </is>
      </c>
      <c r="I107" s="6" t="inlineStr">
        <is>
          <t>log₂(ratio)</t>
        </is>
      </c>
      <c r="J107" s="6" t="inlineStr">
        <is>
          <t>p·log₂(ratio)</t>
        </is>
      </c>
    </row>
    <row r="108">
      <c r="A108" s="7" t="n">
        <v>0</v>
      </c>
      <c r="B108" s="7" t="n">
        <v>0</v>
      </c>
      <c r="C108" s="8">
        <f>COUNTIFS(_Data_A!B:B,0,_Data_A!G:G,0)</f>
        <v/>
      </c>
      <c r="D108" s="9">
        <f>IF(C108=0,0,C108/498)</f>
        <v/>
      </c>
      <c r="E108" s="9">
        <f>IF(C108=0,0,COUNTIF(_Data_A!B:B,0)/498)</f>
        <v/>
      </c>
      <c r="F108" s="9">
        <f>IF(C108=0,0,COUNTIF(_Data_A!G:G,0)/498)</f>
        <v/>
      </c>
      <c r="G108" s="9">
        <f>IF(D108=0,0,E108*F108)</f>
        <v/>
      </c>
      <c r="H108" s="9">
        <f>IF(G108=0,0,D108/G108)</f>
        <v/>
      </c>
      <c r="I108" s="9">
        <f>IF(H108&lt;=0,0,LOG(H108,2))</f>
        <v/>
      </c>
      <c r="J108" s="9">
        <f>D108*I108</f>
        <v/>
      </c>
    </row>
    <row r="109">
      <c r="A109" s="7" t="n">
        <v>0</v>
      </c>
      <c r="B109" s="7" t="n">
        <v>2</v>
      </c>
      <c r="C109" s="8">
        <f>COUNTIFS(_Data_A!B:B,0,_Data_A!G:G,2)</f>
        <v/>
      </c>
      <c r="D109" s="9">
        <f>IF(C109=0,0,C109/498)</f>
        <v/>
      </c>
      <c r="E109" s="9">
        <f>IF(C109=0,0,COUNTIF(_Data_A!B:B,0)/498)</f>
        <v/>
      </c>
      <c r="F109" s="9">
        <f>IF(C109=0,0,COUNTIF(_Data_A!G:G,2)/498)</f>
        <v/>
      </c>
      <c r="G109" s="9">
        <f>IF(D109=0,0,E109*F109)</f>
        <v/>
      </c>
      <c r="H109" s="9">
        <f>IF(G109=0,0,D109/G109)</f>
        <v/>
      </c>
      <c r="I109" s="9">
        <f>IF(H109&lt;=0,0,LOG(H109,2))</f>
        <v/>
      </c>
      <c r="J109" s="9">
        <f>D109*I109</f>
        <v/>
      </c>
    </row>
    <row r="110">
      <c r="A110" s="7" t="n">
        <v>1</v>
      </c>
      <c r="B110" s="7" t="n">
        <v>0</v>
      </c>
      <c r="C110" s="8">
        <f>COUNTIFS(_Data_A!B:B,1,_Data_A!G:G,0)</f>
        <v/>
      </c>
      <c r="D110" s="9">
        <f>IF(C110=0,0,C110/498)</f>
        <v/>
      </c>
      <c r="E110" s="9">
        <f>IF(C110=0,0,COUNTIF(_Data_A!B:B,1)/498)</f>
        <v/>
      </c>
      <c r="F110" s="9">
        <f>IF(C110=0,0,COUNTIF(_Data_A!G:G,0)/498)</f>
        <v/>
      </c>
      <c r="G110" s="9">
        <f>IF(D110=0,0,E110*F110)</f>
        <v/>
      </c>
      <c r="H110" s="9">
        <f>IF(G110=0,0,D110/G110)</f>
        <v/>
      </c>
      <c r="I110" s="9">
        <f>IF(H110&lt;=0,0,LOG(H110,2))</f>
        <v/>
      </c>
      <c r="J110" s="9">
        <f>D110*I110</f>
        <v/>
      </c>
    </row>
    <row r="111">
      <c r="A111" s="7" t="n">
        <v>1</v>
      </c>
      <c r="B111" s="7" t="n">
        <v>2</v>
      </c>
      <c r="C111" s="8">
        <f>COUNTIFS(_Data_A!B:B,1,_Data_A!G:G,2)</f>
        <v/>
      </c>
      <c r="D111" s="9">
        <f>IF(C111=0,0,C111/498)</f>
        <v/>
      </c>
      <c r="E111" s="9">
        <f>IF(C111=0,0,COUNTIF(_Data_A!B:B,1)/498)</f>
        <v/>
      </c>
      <c r="F111" s="9">
        <f>IF(C111=0,0,COUNTIF(_Data_A!G:G,2)/498)</f>
        <v/>
      </c>
      <c r="G111" s="9">
        <f>IF(D111=0,0,E111*F111)</f>
        <v/>
      </c>
      <c r="H111" s="9">
        <f>IF(G111=0,0,D111/G111)</f>
        <v/>
      </c>
      <c r="I111" s="9">
        <f>IF(H111&lt;=0,0,LOG(H111,2))</f>
        <v/>
      </c>
      <c r="J111" s="9">
        <f>D111*I111</f>
        <v/>
      </c>
    </row>
    <row r="112">
      <c r="A112" s="2" t="inlineStr">
        <is>
          <t>IM(x2,x3) =</t>
        </is>
      </c>
      <c r="B112" s="26" t="n"/>
      <c r="C112" s="26" t="n"/>
      <c r="D112" s="26" t="n"/>
      <c r="E112" s="26" t="n"/>
      <c r="F112" s="26" t="n"/>
      <c r="G112" s="26" t="n"/>
      <c r="H112" s="26" t="n"/>
      <c r="I112" s="27" t="n"/>
      <c r="J112" s="11">
        <f>SUM(J108:J111)</f>
        <v/>
      </c>
    </row>
    <row r="115">
      <c r="A115" s="4" t="inlineStr">
        <is>
          <t>x5 — x4</t>
        </is>
      </c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7" t="n"/>
    </row>
    <row r="116">
      <c r="A116" s="6" t="inlineStr">
        <is>
          <t>x5</t>
        </is>
      </c>
      <c r="B116" s="6" t="inlineStr">
        <is>
          <t>x4</t>
        </is>
      </c>
      <c r="C116" s="6" t="inlineStr">
        <is>
          <t>freq</t>
        </is>
      </c>
      <c r="D116" s="6" t="inlineStr">
        <is>
          <t>p(x5,x4)</t>
        </is>
      </c>
      <c r="E116" s="6" t="inlineStr">
        <is>
          <t>p(x5)</t>
        </is>
      </c>
      <c r="F116" s="6" t="inlineStr">
        <is>
          <t>p(x4)</t>
        </is>
      </c>
      <c r="G116" s="6" t="inlineStr">
        <is>
          <t>p(a)·p(b)</t>
        </is>
      </c>
      <c r="H116" s="6" t="inlineStr">
        <is>
          <t>ratio</t>
        </is>
      </c>
      <c r="I116" s="6" t="inlineStr">
        <is>
          <t>log₂(ratio)</t>
        </is>
      </c>
      <c r="J116" s="6" t="inlineStr">
        <is>
          <t>p·log₂(ratio)</t>
        </is>
      </c>
    </row>
    <row r="117">
      <c r="A117" s="7" t="n">
        <v>0</v>
      </c>
      <c r="B117" s="7" t="n">
        <v>0</v>
      </c>
      <c r="C117" s="8">
        <f>COUNTIFS(_Data_A!C:C,0,_Data_A!D:D,0)</f>
        <v/>
      </c>
      <c r="D117" s="9">
        <f>IF(C117=0,0,C117/498)</f>
        <v/>
      </c>
      <c r="E117" s="9">
        <f>IF(C117=0,0,COUNTIF(_Data_A!C:C,0)/498)</f>
        <v/>
      </c>
      <c r="F117" s="9">
        <f>IF(C117=0,0,COUNTIF(_Data_A!D:D,0)/498)</f>
        <v/>
      </c>
      <c r="G117" s="9">
        <f>IF(D117=0,0,E117*F117)</f>
        <v/>
      </c>
      <c r="H117" s="9">
        <f>IF(G117=0,0,D117/G117)</f>
        <v/>
      </c>
      <c r="I117" s="9">
        <f>IF(H117&lt;=0,0,LOG(H117,2))</f>
        <v/>
      </c>
      <c r="J117" s="9">
        <f>D117*I117</f>
        <v/>
      </c>
    </row>
    <row r="118">
      <c r="A118" s="7" t="n">
        <v>0</v>
      </c>
      <c r="B118" s="7" t="n">
        <v>1</v>
      </c>
      <c r="C118" s="8">
        <f>COUNTIFS(_Data_A!C:C,0,_Data_A!D:D,1)</f>
        <v/>
      </c>
      <c r="D118" s="9">
        <f>IF(C118=0,0,C118/498)</f>
        <v/>
      </c>
      <c r="E118" s="9">
        <f>IF(C118=0,0,COUNTIF(_Data_A!C:C,0)/498)</f>
        <v/>
      </c>
      <c r="F118" s="9">
        <f>IF(C118=0,0,COUNTIF(_Data_A!D:D,1)/498)</f>
        <v/>
      </c>
      <c r="G118" s="9">
        <f>IF(D118=0,0,E118*F118)</f>
        <v/>
      </c>
      <c r="H118" s="9">
        <f>IF(G118=0,0,D118/G118)</f>
        <v/>
      </c>
      <c r="I118" s="9">
        <f>IF(H118&lt;=0,0,LOG(H118,2))</f>
        <v/>
      </c>
      <c r="J118" s="9">
        <f>D118*I118</f>
        <v/>
      </c>
    </row>
    <row r="119">
      <c r="A119" s="7" t="n">
        <v>1</v>
      </c>
      <c r="B119" s="7" t="n">
        <v>0</v>
      </c>
      <c r="C119" s="8">
        <f>COUNTIFS(_Data_A!C:C,1,_Data_A!D:D,0)</f>
        <v/>
      </c>
      <c r="D119" s="9">
        <f>IF(C119=0,0,C119/498)</f>
        <v/>
      </c>
      <c r="E119" s="9">
        <f>IF(C119=0,0,COUNTIF(_Data_A!C:C,1)/498)</f>
        <v/>
      </c>
      <c r="F119" s="9">
        <f>IF(C119=0,0,COUNTIF(_Data_A!D:D,0)/498)</f>
        <v/>
      </c>
      <c r="G119" s="9">
        <f>IF(D119=0,0,E119*F119)</f>
        <v/>
      </c>
      <c r="H119" s="9">
        <f>IF(G119=0,0,D119/G119)</f>
        <v/>
      </c>
      <c r="I119" s="9">
        <f>IF(H119&lt;=0,0,LOG(H119,2))</f>
        <v/>
      </c>
      <c r="J119" s="9">
        <f>D119*I119</f>
        <v/>
      </c>
    </row>
    <row r="120">
      <c r="A120" s="7" t="n">
        <v>1</v>
      </c>
      <c r="B120" s="7" t="n">
        <v>1</v>
      </c>
      <c r="C120" s="8">
        <f>COUNTIFS(_Data_A!C:C,1,_Data_A!D:D,1)</f>
        <v/>
      </c>
      <c r="D120" s="9">
        <f>IF(C120=0,0,C120/498)</f>
        <v/>
      </c>
      <c r="E120" s="9">
        <f>IF(C120=0,0,COUNTIF(_Data_A!C:C,1)/498)</f>
        <v/>
      </c>
      <c r="F120" s="9">
        <f>IF(C120=0,0,COUNTIF(_Data_A!D:D,1)/498)</f>
        <v/>
      </c>
      <c r="G120" s="9">
        <f>IF(D120=0,0,E120*F120)</f>
        <v/>
      </c>
      <c r="H120" s="9">
        <f>IF(G120=0,0,D120/G120)</f>
        <v/>
      </c>
      <c r="I120" s="9">
        <f>IF(H120&lt;=0,0,LOG(H120,2))</f>
        <v/>
      </c>
      <c r="J120" s="9">
        <f>D120*I120</f>
        <v/>
      </c>
    </row>
    <row r="121">
      <c r="A121" s="7" t="n">
        <v>2</v>
      </c>
      <c r="B121" s="7" t="n">
        <v>0</v>
      </c>
      <c r="C121" s="8">
        <f>COUNTIFS(_Data_A!C:C,2,_Data_A!D:D,0)</f>
        <v/>
      </c>
      <c r="D121" s="9">
        <f>IF(C121=0,0,C121/498)</f>
        <v/>
      </c>
      <c r="E121" s="9">
        <f>IF(C121=0,0,COUNTIF(_Data_A!C:C,2)/498)</f>
        <v/>
      </c>
      <c r="F121" s="9">
        <f>IF(C121=0,0,COUNTIF(_Data_A!D:D,0)/498)</f>
        <v/>
      </c>
      <c r="G121" s="9">
        <f>IF(D121=0,0,E121*F121)</f>
        <v/>
      </c>
      <c r="H121" s="9">
        <f>IF(G121=0,0,D121/G121)</f>
        <v/>
      </c>
      <c r="I121" s="9">
        <f>IF(H121&lt;=0,0,LOG(H121,2))</f>
        <v/>
      </c>
      <c r="J121" s="9">
        <f>D121*I121</f>
        <v/>
      </c>
    </row>
    <row r="122">
      <c r="A122" s="7" t="n">
        <v>2</v>
      </c>
      <c r="B122" s="7" t="n">
        <v>1</v>
      </c>
      <c r="C122" s="8">
        <f>COUNTIFS(_Data_A!C:C,2,_Data_A!D:D,1)</f>
        <v/>
      </c>
      <c r="D122" s="9">
        <f>IF(C122=0,0,C122/498)</f>
        <v/>
      </c>
      <c r="E122" s="9">
        <f>IF(C122=0,0,COUNTIF(_Data_A!C:C,2)/498)</f>
        <v/>
      </c>
      <c r="F122" s="9">
        <f>IF(C122=0,0,COUNTIF(_Data_A!D:D,1)/498)</f>
        <v/>
      </c>
      <c r="G122" s="9">
        <f>IF(D122=0,0,E122*F122)</f>
        <v/>
      </c>
      <c r="H122" s="9">
        <f>IF(G122=0,0,D122/G122)</f>
        <v/>
      </c>
      <c r="I122" s="9">
        <f>IF(H122&lt;=0,0,LOG(H122,2))</f>
        <v/>
      </c>
      <c r="J122" s="9">
        <f>D122*I122</f>
        <v/>
      </c>
    </row>
    <row r="123">
      <c r="A123" s="2" t="inlineStr">
        <is>
          <t>IM(x5,x4) =</t>
        </is>
      </c>
      <c r="B123" s="26" t="n"/>
      <c r="C123" s="26" t="n"/>
      <c r="D123" s="26" t="n"/>
      <c r="E123" s="26" t="n"/>
      <c r="F123" s="26" t="n"/>
      <c r="G123" s="26" t="n"/>
      <c r="H123" s="26" t="n"/>
      <c r="I123" s="27" t="n"/>
      <c r="J123" s="11">
        <f>SUM(J117:J122)</f>
        <v/>
      </c>
    </row>
    <row r="126">
      <c r="A126" s="4" t="inlineStr">
        <is>
          <t>x5 — x6</t>
        </is>
      </c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7" t="n"/>
    </row>
    <row r="127">
      <c r="A127" s="6" t="inlineStr">
        <is>
          <t>x5</t>
        </is>
      </c>
      <c r="B127" s="6" t="inlineStr">
        <is>
          <t>x6</t>
        </is>
      </c>
      <c r="C127" s="6" t="inlineStr">
        <is>
          <t>freq</t>
        </is>
      </c>
      <c r="D127" s="6" t="inlineStr">
        <is>
          <t>p(x5,x6)</t>
        </is>
      </c>
      <c r="E127" s="6" t="inlineStr">
        <is>
          <t>p(x5)</t>
        </is>
      </c>
      <c r="F127" s="6" t="inlineStr">
        <is>
          <t>p(x6)</t>
        </is>
      </c>
      <c r="G127" s="6" t="inlineStr">
        <is>
          <t>p(a)·p(b)</t>
        </is>
      </c>
      <c r="H127" s="6" t="inlineStr">
        <is>
          <t>ratio</t>
        </is>
      </c>
      <c r="I127" s="6" t="inlineStr">
        <is>
          <t>log₂(ratio)</t>
        </is>
      </c>
      <c r="J127" s="6" t="inlineStr">
        <is>
          <t>p·log₂(ratio)</t>
        </is>
      </c>
    </row>
    <row r="128">
      <c r="A128" s="7" t="n">
        <v>0</v>
      </c>
      <c r="B128" s="7" t="n">
        <v>0</v>
      </c>
      <c r="C128" s="8">
        <f>COUNTIFS(_Data_A!C:C,0,_Data_A!E:E,0)</f>
        <v/>
      </c>
      <c r="D128" s="9">
        <f>IF(C128=0,0,C128/498)</f>
        <v/>
      </c>
      <c r="E128" s="9">
        <f>IF(C128=0,0,COUNTIF(_Data_A!C:C,0)/498)</f>
        <v/>
      </c>
      <c r="F128" s="9">
        <f>IF(C128=0,0,COUNTIF(_Data_A!E:E,0)/498)</f>
        <v/>
      </c>
      <c r="G128" s="9">
        <f>IF(D128=0,0,E128*F128)</f>
        <v/>
      </c>
      <c r="H128" s="9">
        <f>IF(G128=0,0,D128/G128)</f>
        <v/>
      </c>
      <c r="I128" s="9">
        <f>IF(H128&lt;=0,0,LOG(H128,2))</f>
        <v/>
      </c>
      <c r="J128" s="9">
        <f>D128*I128</f>
        <v/>
      </c>
    </row>
    <row r="129">
      <c r="A129" s="7" t="n">
        <v>0</v>
      </c>
      <c r="B129" s="7" t="n">
        <v>1</v>
      </c>
      <c r="C129" s="8">
        <f>COUNTIFS(_Data_A!C:C,0,_Data_A!E:E,1)</f>
        <v/>
      </c>
      <c r="D129" s="9">
        <f>IF(C129=0,0,C129/498)</f>
        <v/>
      </c>
      <c r="E129" s="9">
        <f>IF(C129=0,0,COUNTIF(_Data_A!C:C,0)/498)</f>
        <v/>
      </c>
      <c r="F129" s="9">
        <f>IF(C129=0,0,COUNTIF(_Data_A!E:E,1)/498)</f>
        <v/>
      </c>
      <c r="G129" s="9">
        <f>IF(D129=0,0,E129*F129)</f>
        <v/>
      </c>
      <c r="H129" s="9">
        <f>IF(G129=0,0,D129/G129)</f>
        <v/>
      </c>
      <c r="I129" s="9">
        <f>IF(H129&lt;=0,0,LOG(H129,2))</f>
        <v/>
      </c>
      <c r="J129" s="9">
        <f>D129*I129</f>
        <v/>
      </c>
    </row>
    <row r="130">
      <c r="A130" s="7" t="n">
        <v>1</v>
      </c>
      <c r="B130" s="7" t="n">
        <v>0</v>
      </c>
      <c r="C130" s="8">
        <f>COUNTIFS(_Data_A!C:C,1,_Data_A!E:E,0)</f>
        <v/>
      </c>
      <c r="D130" s="9">
        <f>IF(C130=0,0,C130/498)</f>
        <v/>
      </c>
      <c r="E130" s="9">
        <f>IF(C130=0,0,COUNTIF(_Data_A!C:C,1)/498)</f>
        <v/>
      </c>
      <c r="F130" s="9">
        <f>IF(C130=0,0,COUNTIF(_Data_A!E:E,0)/498)</f>
        <v/>
      </c>
      <c r="G130" s="9">
        <f>IF(D130=0,0,E130*F130)</f>
        <v/>
      </c>
      <c r="H130" s="9">
        <f>IF(G130=0,0,D130/G130)</f>
        <v/>
      </c>
      <c r="I130" s="9">
        <f>IF(H130&lt;=0,0,LOG(H130,2))</f>
        <v/>
      </c>
      <c r="J130" s="9">
        <f>D130*I130</f>
        <v/>
      </c>
    </row>
    <row r="131">
      <c r="A131" s="7" t="n">
        <v>1</v>
      </c>
      <c r="B131" s="7" t="n">
        <v>1</v>
      </c>
      <c r="C131" s="8">
        <f>COUNTIFS(_Data_A!C:C,1,_Data_A!E:E,1)</f>
        <v/>
      </c>
      <c r="D131" s="9">
        <f>IF(C131=0,0,C131/498)</f>
        <v/>
      </c>
      <c r="E131" s="9">
        <f>IF(C131=0,0,COUNTIF(_Data_A!C:C,1)/498)</f>
        <v/>
      </c>
      <c r="F131" s="9">
        <f>IF(C131=0,0,COUNTIF(_Data_A!E:E,1)/498)</f>
        <v/>
      </c>
      <c r="G131" s="9">
        <f>IF(D131=0,0,E131*F131)</f>
        <v/>
      </c>
      <c r="H131" s="9">
        <f>IF(G131=0,0,D131/G131)</f>
        <v/>
      </c>
      <c r="I131" s="9">
        <f>IF(H131&lt;=0,0,LOG(H131,2))</f>
        <v/>
      </c>
      <c r="J131" s="9">
        <f>D131*I131</f>
        <v/>
      </c>
    </row>
    <row r="132">
      <c r="A132" s="7" t="n">
        <v>2</v>
      </c>
      <c r="B132" s="7" t="n">
        <v>0</v>
      </c>
      <c r="C132" s="8">
        <f>COUNTIFS(_Data_A!C:C,2,_Data_A!E:E,0)</f>
        <v/>
      </c>
      <c r="D132" s="9">
        <f>IF(C132=0,0,C132/498)</f>
        <v/>
      </c>
      <c r="E132" s="9">
        <f>IF(C132=0,0,COUNTIF(_Data_A!C:C,2)/498)</f>
        <v/>
      </c>
      <c r="F132" s="9">
        <f>IF(C132=0,0,COUNTIF(_Data_A!E:E,0)/498)</f>
        <v/>
      </c>
      <c r="G132" s="9">
        <f>IF(D132=0,0,E132*F132)</f>
        <v/>
      </c>
      <c r="H132" s="9">
        <f>IF(G132=0,0,D132/G132)</f>
        <v/>
      </c>
      <c r="I132" s="9">
        <f>IF(H132&lt;=0,0,LOG(H132,2))</f>
        <v/>
      </c>
      <c r="J132" s="9">
        <f>D132*I132</f>
        <v/>
      </c>
    </row>
    <row r="133">
      <c r="A133" s="7" t="n">
        <v>2</v>
      </c>
      <c r="B133" s="7" t="n">
        <v>1</v>
      </c>
      <c r="C133" s="8">
        <f>COUNTIFS(_Data_A!C:C,2,_Data_A!E:E,1)</f>
        <v/>
      </c>
      <c r="D133" s="9">
        <f>IF(C133=0,0,C133/498)</f>
        <v/>
      </c>
      <c r="E133" s="9">
        <f>IF(C133=0,0,COUNTIF(_Data_A!C:C,2)/498)</f>
        <v/>
      </c>
      <c r="F133" s="9">
        <f>IF(C133=0,0,COUNTIF(_Data_A!E:E,1)/498)</f>
        <v/>
      </c>
      <c r="G133" s="9">
        <f>IF(D133=0,0,E133*F133)</f>
        <v/>
      </c>
      <c r="H133" s="9">
        <f>IF(G133=0,0,D133/G133)</f>
        <v/>
      </c>
      <c r="I133" s="9">
        <f>IF(H133&lt;=0,0,LOG(H133,2))</f>
        <v/>
      </c>
      <c r="J133" s="9">
        <f>D133*I133</f>
        <v/>
      </c>
    </row>
    <row r="134">
      <c r="A134" s="2" t="inlineStr">
        <is>
          <t>IM(x5,x6) =</t>
        </is>
      </c>
      <c r="B134" s="26" t="n"/>
      <c r="C134" s="26" t="n"/>
      <c r="D134" s="26" t="n"/>
      <c r="E134" s="26" t="n"/>
      <c r="F134" s="26" t="n"/>
      <c r="G134" s="26" t="n"/>
      <c r="H134" s="26" t="n"/>
      <c r="I134" s="27" t="n"/>
      <c r="J134" s="11">
        <f>SUM(J128:J133)</f>
        <v/>
      </c>
    </row>
    <row r="137">
      <c r="A137" s="4" t="inlineStr">
        <is>
          <t>x5 — x9</t>
        </is>
      </c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7" t="n"/>
    </row>
    <row r="138">
      <c r="A138" s="6" t="inlineStr">
        <is>
          <t>x5</t>
        </is>
      </c>
      <c r="B138" s="6" t="inlineStr">
        <is>
          <t>x9</t>
        </is>
      </c>
      <c r="C138" s="6" t="inlineStr">
        <is>
          <t>freq</t>
        </is>
      </c>
      <c r="D138" s="6" t="inlineStr">
        <is>
          <t>p(x5,x9)</t>
        </is>
      </c>
      <c r="E138" s="6" t="inlineStr">
        <is>
          <t>p(x5)</t>
        </is>
      </c>
      <c r="F138" s="6" t="inlineStr">
        <is>
          <t>p(x9)</t>
        </is>
      </c>
      <c r="G138" s="6" t="inlineStr">
        <is>
          <t>p(a)·p(b)</t>
        </is>
      </c>
      <c r="H138" s="6" t="inlineStr">
        <is>
          <t>ratio</t>
        </is>
      </c>
      <c r="I138" s="6" t="inlineStr">
        <is>
          <t>log₂(ratio)</t>
        </is>
      </c>
      <c r="J138" s="6" t="inlineStr">
        <is>
          <t>p·log₂(ratio)</t>
        </is>
      </c>
    </row>
    <row r="139">
      <c r="A139" s="7" t="n">
        <v>0</v>
      </c>
      <c r="B139" s="7" t="n">
        <v>0</v>
      </c>
      <c r="C139" s="8">
        <f>COUNTIFS(_Data_A!C:C,0,_Data_A!F:F,0)</f>
        <v/>
      </c>
      <c r="D139" s="9">
        <f>IF(C139=0,0,C139/498)</f>
        <v/>
      </c>
      <c r="E139" s="9">
        <f>IF(C139=0,0,COUNTIF(_Data_A!C:C,0)/498)</f>
        <v/>
      </c>
      <c r="F139" s="9">
        <f>IF(C139=0,0,COUNTIF(_Data_A!F:F,0)/498)</f>
        <v/>
      </c>
      <c r="G139" s="9">
        <f>IF(D139=0,0,E139*F139)</f>
        <v/>
      </c>
      <c r="H139" s="9">
        <f>IF(G139=0,0,D139/G139)</f>
        <v/>
      </c>
      <c r="I139" s="9">
        <f>IF(H139&lt;=0,0,LOG(H139,2))</f>
        <v/>
      </c>
      <c r="J139" s="9">
        <f>D139*I139</f>
        <v/>
      </c>
    </row>
    <row r="140">
      <c r="A140" s="7" t="n">
        <v>0</v>
      </c>
      <c r="B140" s="7" t="n">
        <v>1</v>
      </c>
      <c r="C140" s="8">
        <f>COUNTIFS(_Data_A!C:C,0,_Data_A!F:F,1)</f>
        <v/>
      </c>
      <c r="D140" s="9">
        <f>IF(C140=0,0,C140/498)</f>
        <v/>
      </c>
      <c r="E140" s="9">
        <f>IF(C140=0,0,COUNTIF(_Data_A!C:C,0)/498)</f>
        <v/>
      </c>
      <c r="F140" s="9">
        <f>IF(C140=0,0,COUNTIF(_Data_A!F:F,1)/498)</f>
        <v/>
      </c>
      <c r="G140" s="9">
        <f>IF(D140=0,0,E140*F140)</f>
        <v/>
      </c>
      <c r="H140" s="9">
        <f>IF(G140=0,0,D140/G140)</f>
        <v/>
      </c>
      <c r="I140" s="9">
        <f>IF(H140&lt;=0,0,LOG(H140,2))</f>
        <v/>
      </c>
      <c r="J140" s="9">
        <f>D140*I140</f>
        <v/>
      </c>
    </row>
    <row r="141">
      <c r="A141" s="7" t="n">
        <v>0</v>
      </c>
      <c r="B141" s="7" t="n">
        <v>2</v>
      </c>
      <c r="C141" s="8">
        <f>COUNTIFS(_Data_A!C:C,0,_Data_A!F:F,2)</f>
        <v/>
      </c>
      <c r="D141" s="9">
        <f>IF(C141=0,0,C141/498)</f>
        <v/>
      </c>
      <c r="E141" s="9">
        <f>IF(C141=0,0,COUNTIF(_Data_A!C:C,0)/498)</f>
        <v/>
      </c>
      <c r="F141" s="9">
        <f>IF(C141=0,0,COUNTIF(_Data_A!F:F,2)/498)</f>
        <v/>
      </c>
      <c r="G141" s="9">
        <f>IF(D141=0,0,E141*F141)</f>
        <v/>
      </c>
      <c r="H141" s="9">
        <f>IF(G141=0,0,D141/G141)</f>
        <v/>
      </c>
      <c r="I141" s="9">
        <f>IF(H141&lt;=0,0,LOG(H141,2))</f>
        <v/>
      </c>
      <c r="J141" s="9">
        <f>D141*I141</f>
        <v/>
      </c>
    </row>
    <row r="142">
      <c r="A142" s="7" t="n">
        <v>0</v>
      </c>
      <c r="B142" s="7" t="n">
        <v>3</v>
      </c>
      <c r="C142" s="8">
        <f>COUNTIFS(_Data_A!C:C,0,_Data_A!F:F,3)</f>
        <v/>
      </c>
      <c r="D142" s="9">
        <f>IF(C142=0,0,C142/498)</f>
        <v/>
      </c>
      <c r="E142" s="9">
        <f>IF(C142=0,0,COUNTIF(_Data_A!C:C,0)/498)</f>
        <v/>
      </c>
      <c r="F142" s="9">
        <f>IF(C142=0,0,COUNTIF(_Data_A!F:F,3)/498)</f>
        <v/>
      </c>
      <c r="G142" s="9">
        <f>IF(D142=0,0,E142*F142)</f>
        <v/>
      </c>
      <c r="H142" s="9">
        <f>IF(G142=0,0,D142/G142)</f>
        <v/>
      </c>
      <c r="I142" s="9">
        <f>IF(H142&lt;=0,0,LOG(H142,2))</f>
        <v/>
      </c>
      <c r="J142" s="9">
        <f>D142*I142</f>
        <v/>
      </c>
    </row>
    <row r="143">
      <c r="A143" s="7" t="n">
        <v>1</v>
      </c>
      <c r="B143" s="7" t="n">
        <v>0</v>
      </c>
      <c r="C143" s="8">
        <f>COUNTIFS(_Data_A!C:C,1,_Data_A!F:F,0)</f>
        <v/>
      </c>
      <c r="D143" s="9">
        <f>IF(C143=0,0,C143/498)</f>
        <v/>
      </c>
      <c r="E143" s="9">
        <f>IF(C143=0,0,COUNTIF(_Data_A!C:C,1)/498)</f>
        <v/>
      </c>
      <c r="F143" s="9">
        <f>IF(C143=0,0,COUNTIF(_Data_A!F:F,0)/498)</f>
        <v/>
      </c>
      <c r="G143" s="9">
        <f>IF(D143=0,0,E143*F143)</f>
        <v/>
      </c>
      <c r="H143" s="9">
        <f>IF(G143=0,0,D143/G143)</f>
        <v/>
      </c>
      <c r="I143" s="9">
        <f>IF(H143&lt;=0,0,LOG(H143,2))</f>
        <v/>
      </c>
      <c r="J143" s="9">
        <f>D143*I143</f>
        <v/>
      </c>
    </row>
    <row r="144">
      <c r="A144" s="7" t="n">
        <v>1</v>
      </c>
      <c r="B144" s="7" t="n">
        <v>1</v>
      </c>
      <c r="C144" s="8">
        <f>COUNTIFS(_Data_A!C:C,1,_Data_A!F:F,1)</f>
        <v/>
      </c>
      <c r="D144" s="9">
        <f>IF(C144=0,0,C144/498)</f>
        <v/>
      </c>
      <c r="E144" s="9">
        <f>IF(C144=0,0,COUNTIF(_Data_A!C:C,1)/498)</f>
        <v/>
      </c>
      <c r="F144" s="9">
        <f>IF(C144=0,0,COUNTIF(_Data_A!F:F,1)/498)</f>
        <v/>
      </c>
      <c r="G144" s="9">
        <f>IF(D144=0,0,E144*F144)</f>
        <v/>
      </c>
      <c r="H144" s="9">
        <f>IF(G144=0,0,D144/G144)</f>
        <v/>
      </c>
      <c r="I144" s="9">
        <f>IF(H144&lt;=0,0,LOG(H144,2))</f>
        <v/>
      </c>
      <c r="J144" s="9">
        <f>D144*I144</f>
        <v/>
      </c>
    </row>
    <row r="145">
      <c r="A145" s="7" t="n">
        <v>1</v>
      </c>
      <c r="B145" s="7" t="n">
        <v>2</v>
      </c>
      <c r="C145" s="8">
        <f>COUNTIFS(_Data_A!C:C,1,_Data_A!F:F,2)</f>
        <v/>
      </c>
      <c r="D145" s="9">
        <f>IF(C145=0,0,C145/498)</f>
        <v/>
      </c>
      <c r="E145" s="9">
        <f>IF(C145=0,0,COUNTIF(_Data_A!C:C,1)/498)</f>
        <v/>
      </c>
      <c r="F145" s="9">
        <f>IF(C145=0,0,COUNTIF(_Data_A!F:F,2)/498)</f>
        <v/>
      </c>
      <c r="G145" s="9">
        <f>IF(D145=0,0,E145*F145)</f>
        <v/>
      </c>
      <c r="H145" s="9">
        <f>IF(G145=0,0,D145/G145)</f>
        <v/>
      </c>
      <c r="I145" s="9">
        <f>IF(H145&lt;=0,0,LOG(H145,2))</f>
        <v/>
      </c>
      <c r="J145" s="9">
        <f>D145*I145</f>
        <v/>
      </c>
    </row>
    <row r="146">
      <c r="A146" s="7" t="n">
        <v>1</v>
      </c>
      <c r="B146" s="7" t="n">
        <v>3</v>
      </c>
      <c r="C146" s="8">
        <f>COUNTIFS(_Data_A!C:C,1,_Data_A!F:F,3)</f>
        <v/>
      </c>
      <c r="D146" s="9">
        <f>IF(C146=0,0,C146/498)</f>
        <v/>
      </c>
      <c r="E146" s="9">
        <f>IF(C146=0,0,COUNTIF(_Data_A!C:C,1)/498)</f>
        <v/>
      </c>
      <c r="F146" s="9">
        <f>IF(C146=0,0,COUNTIF(_Data_A!F:F,3)/498)</f>
        <v/>
      </c>
      <c r="G146" s="9">
        <f>IF(D146=0,0,E146*F146)</f>
        <v/>
      </c>
      <c r="H146" s="9">
        <f>IF(G146=0,0,D146/G146)</f>
        <v/>
      </c>
      <c r="I146" s="9">
        <f>IF(H146&lt;=0,0,LOG(H146,2))</f>
        <v/>
      </c>
      <c r="J146" s="9">
        <f>D146*I146</f>
        <v/>
      </c>
    </row>
    <row r="147">
      <c r="A147" s="7" t="n">
        <v>2</v>
      </c>
      <c r="B147" s="7" t="n">
        <v>0</v>
      </c>
      <c r="C147" s="8">
        <f>COUNTIFS(_Data_A!C:C,2,_Data_A!F:F,0)</f>
        <v/>
      </c>
      <c r="D147" s="9">
        <f>IF(C147=0,0,C147/498)</f>
        <v/>
      </c>
      <c r="E147" s="9">
        <f>IF(C147=0,0,COUNTIF(_Data_A!C:C,2)/498)</f>
        <v/>
      </c>
      <c r="F147" s="9">
        <f>IF(C147=0,0,COUNTIF(_Data_A!F:F,0)/498)</f>
        <v/>
      </c>
      <c r="G147" s="9">
        <f>IF(D147=0,0,E147*F147)</f>
        <v/>
      </c>
      <c r="H147" s="9">
        <f>IF(G147=0,0,D147/G147)</f>
        <v/>
      </c>
      <c r="I147" s="9">
        <f>IF(H147&lt;=0,0,LOG(H147,2))</f>
        <v/>
      </c>
      <c r="J147" s="9">
        <f>D147*I147</f>
        <v/>
      </c>
    </row>
    <row r="148">
      <c r="A148" s="7" t="n">
        <v>2</v>
      </c>
      <c r="B148" s="7" t="n">
        <v>1</v>
      </c>
      <c r="C148" s="8">
        <f>COUNTIFS(_Data_A!C:C,2,_Data_A!F:F,1)</f>
        <v/>
      </c>
      <c r="D148" s="9">
        <f>IF(C148=0,0,C148/498)</f>
        <v/>
      </c>
      <c r="E148" s="9">
        <f>IF(C148=0,0,COUNTIF(_Data_A!C:C,2)/498)</f>
        <v/>
      </c>
      <c r="F148" s="9">
        <f>IF(C148=0,0,COUNTIF(_Data_A!F:F,1)/498)</f>
        <v/>
      </c>
      <c r="G148" s="9">
        <f>IF(D148=0,0,E148*F148)</f>
        <v/>
      </c>
      <c r="H148" s="9">
        <f>IF(G148=0,0,D148/G148)</f>
        <v/>
      </c>
      <c r="I148" s="9">
        <f>IF(H148&lt;=0,0,LOG(H148,2))</f>
        <v/>
      </c>
      <c r="J148" s="9">
        <f>D148*I148</f>
        <v/>
      </c>
    </row>
    <row r="149">
      <c r="A149" s="7" t="n">
        <v>2</v>
      </c>
      <c r="B149" s="7" t="n">
        <v>2</v>
      </c>
      <c r="C149" s="8">
        <f>COUNTIFS(_Data_A!C:C,2,_Data_A!F:F,2)</f>
        <v/>
      </c>
      <c r="D149" s="9">
        <f>IF(C149=0,0,C149/498)</f>
        <v/>
      </c>
      <c r="E149" s="9">
        <f>IF(C149=0,0,COUNTIF(_Data_A!C:C,2)/498)</f>
        <v/>
      </c>
      <c r="F149" s="9">
        <f>IF(C149=0,0,COUNTIF(_Data_A!F:F,2)/498)</f>
        <v/>
      </c>
      <c r="G149" s="9">
        <f>IF(D149=0,0,E149*F149)</f>
        <v/>
      </c>
      <c r="H149" s="9">
        <f>IF(G149=0,0,D149/G149)</f>
        <v/>
      </c>
      <c r="I149" s="9">
        <f>IF(H149&lt;=0,0,LOG(H149,2))</f>
        <v/>
      </c>
      <c r="J149" s="9">
        <f>D149*I149</f>
        <v/>
      </c>
    </row>
    <row r="150">
      <c r="A150" s="7" t="n">
        <v>2</v>
      </c>
      <c r="B150" s="7" t="n">
        <v>3</v>
      </c>
      <c r="C150" s="8">
        <f>COUNTIFS(_Data_A!C:C,2,_Data_A!F:F,3)</f>
        <v/>
      </c>
      <c r="D150" s="9">
        <f>IF(C150=0,0,C150/498)</f>
        <v/>
      </c>
      <c r="E150" s="9">
        <f>IF(C150=0,0,COUNTIF(_Data_A!C:C,2)/498)</f>
        <v/>
      </c>
      <c r="F150" s="9">
        <f>IF(C150=0,0,COUNTIF(_Data_A!F:F,3)/498)</f>
        <v/>
      </c>
      <c r="G150" s="9">
        <f>IF(D150=0,0,E150*F150)</f>
        <v/>
      </c>
      <c r="H150" s="9">
        <f>IF(G150=0,0,D150/G150)</f>
        <v/>
      </c>
      <c r="I150" s="9">
        <f>IF(H150&lt;=0,0,LOG(H150,2))</f>
        <v/>
      </c>
      <c r="J150" s="9">
        <f>D150*I150</f>
        <v/>
      </c>
    </row>
    <row r="151">
      <c r="A151" s="2" t="inlineStr">
        <is>
          <t>IM(x5,x9) =</t>
        </is>
      </c>
      <c r="B151" s="26" t="n"/>
      <c r="C151" s="26" t="n"/>
      <c r="D151" s="26" t="n"/>
      <c r="E151" s="26" t="n"/>
      <c r="F151" s="26" t="n"/>
      <c r="G151" s="26" t="n"/>
      <c r="H151" s="26" t="n"/>
      <c r="I151" s="27" t="n"/>
      <c r="J151" s="11">
        <f>SUM(J139:J150)</f>
        <v/>
      </c>
    </row>
    <row r="154">
      <c r="A154" s="4" t="inlineStr">
        <is>
          <t>x5 — x3</t>
        </is>
      </c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7" t="n"/>
    </row>
    <row r="155">
      <c r="A155" s="6" t="inlineStr">
        <is>
          <t>x5</t>
        </is>
      </c>
      <c r="B155" s="6" t="inlineStr">
        <is>
          <t>x3</t>
        </is>
      </c>
      <c r="C155" s="6" t="inlineStr">
        <is>
          <t>freq</t>
        </is>
      </c>
      <c r="D155" s="6" t="inlineStr">
        <is>
          <t>p(x5,x3)</t>
        </is>
      </c>
      <c r="E155" s="6" t="inlineStr">
        <is>
          <t>p(x5)</t>
        </is>
      </c>
      <c r="F155" s="6" t="inlineStr">
        <is>
          <t>p(x3)</t>
        </is>
      </c>
      <c r="G155" s="6" t="inlineStr">
        <is>
          <t>p(a)·p(b)</t>
        </is>
      </c>
      <c r="H155" s="6" t="inlineStr">
        <is>
          <t>ratio</t>
        </is>
      </c>
      <c r="I155" s="6" t="inlineStr">
        <is>
          <t>log₂(ratio)</t>
        </is>
      </c>
      <c r="J155" s="6" t="inlineStr">
        <is>
          <t>p·log₂(ratio)</t>
        </is>
      </c>
    </row>
    <row r="156">
      <c r="A156" s="7" t="n">
        <v>0</v>
      </c>
      <c r="B156" s="7" t="n">
        <v>0</v>
      </c>
      <c r="C156" s="8">
        <f>COUNTIFS(_Data_A!C:C,0,_Data_A!G:G,0)</f>
        <v/>
      </c>
      <c r="D156" s="9">
        <f>IF(C156=0,0,C156/498)</f>
        <v/>
      </c>
      <c r="E156" s="9">
        <f>IF(C156=0,0,COUNTIF(_Data_A!C:C,0)/498)</f>
        <v/>
      </c>
      <c r="F156" s="9">
        <f>IF(C156=0,0,COUNTIF(_Data_A!G:G,0)/498)</f>
        <v/>
      </c>
      <c r="G156" s="9">
        <f>IF(D156=0,0,E156*F156)</f>
        <v/>
      </c>
      <c r="H156" s="9">
        <f>IF(G156=0,0,D156/G156)</f>
        <v/>
      </c>
      <c r="I156" s="9">
        <f>IF(H156&lt;=0,0,LOG(H156,2))</f>
        <v/>
      </c>
      <c r="J156" s="9">
        <f>D156*I156</f>
        <v/>
      </c>
    </row>
    <row r="157">
      <c r="A157" s="7" t="n">
        <v>0</v>
      </c>
      <c r="B157" s="7" t="n">
        <v>2</v>
      </c>
      <c r="C157" s="8">
        <f>COUNTIFS(_Data_A!C:C,0,_Data_A!G:G,2)</f>
        <v/>
      </c>
      <c r="D157" s="9">
        <f>IF(C157=0,0,C157/498)</f>
        <v/>
      </c>
      <c r="E157" s="9">
        <f>IF(C157=0,0,COUNTIF(_Data_A!C:C,0)/498)</f>
        <v/>
      </c>
      <c r="F157" s="9">
        <f>IF(C157=0,0,COUNTIF(_Data_A!G:G,2)/498)</f>
        <v/>
      </c>
      <c r="G157" s="9">
        <f>IF(D157=0,0,E157*F157)</f>
        <v/>
      </c>
      <c r="H157" s="9">
        <f>IF(G157=0,0,D157/G157)</f>
        <v/>
      </c>
      <c r="I157" s="9">
        <f>IF(H157&lt;=0,0,LOG(H157,2))</f>
        <v/>
      </c>
      <c r="J157" s="9">
        <f>D157*I157</f>
        <v/>
      </c>
    </row>
    <row r="158">
      <c r="A158" s="7" t="n">
        <v>1</v>
      </c>
      <c r="B158" s="7" t="n">
        <v>0</v>
      </c>
      <c r="C158" s="8">
        <f>COUNTIFS(_Data_A!C:C,1,_Data_A!G:G,0)</f>
        <v/>
      </c>
      <c r="D158" s="9">
        <f>IF(C158=0,0,C158/498)</f>
        <v/>
      </c>
      <c r="E158" s="9">
        <f>IF(C158=0,0,COUNTIF(_Data_A!C:C,1)/498)</f>
        <v/>
      </c>
      <c r="F158" s="9">
        <f>IF(C158=0,0,COUNTIF(_Data_A!G:G,0)/498)</f>
        <v/>
      </c>
      <c r="G158" s="9">
        <f>IF(D158=0,0,E158*F158)</f>
        <v/>
      </c>
      <c r="H158" s="9">
        <f>IF(G158=0,0,D158/G158)</f>
        <v/>
      </c>
      <c r="I158" s="9">
        <f>IF(H158&lt;=0,0,LOG(H158,2))</f>
        <v/>
      </c>
      <c r="J158" s="9">
        <f>D158*I158</f>
        <v/>
      </c>
    </row>
    <row r="159">
      <c r="A159" s="7" t="n">
        <v>1</v>
      </c>
      <c r="B159" s="7" t="n">
        <v>2</v>
      </c>
      <c r="C159" s="8">
        <f>COUNTIFS(_Data_A!C:C,1,_Data_A!G:G,2)</f>
        <v/>
      </c>
      <c r="D159" s="9">
        <f>IF(C159=0,0,C159/498)</f>
        <v/>
      </c>
      <c r="E159" s="9">
        <f>IF(C159=0,0,COUNTIF(_Data_A!C:C,1)/498)</f>
        <v/>
      </c>
      <c r="F159" s="9">
        <f>IF(C159=0,0,COUNTIF(_Data_A!G:G,2)/498)</f>
        <v/>
      </c>
      <c r="G159" s="9">
        <f>IF(D159=0,0,E159*F159)</f>
        <v/>
      </c>
      <c r="H159" s="9">
        <f>IF(G159=0,0,D159/G159)</f>
        <v/>
      </c>
      <c r="I159" s="9">
        <f>IF(H159&lt;=0,0,LOG(H159,2))</f>
        <v/>
      </c>
      <c r="J159" s="9">
        <f>D159*I159</f>
        <v/>
      </c>
    </row>
    <row r="160">
      <c r="A160" s="7" t="n">
        <v>2</v>
      </c>
      <c r="B160" s="7" t="n">
        <v>0</v>
      </c>
      <c r="C160" s="8">
        <f>COUNTIFS(_Data_A!C:C,2,_Data_A!G:G,0)</f>
        <v/>
      </c>
      <c r="D160" s="9">
        <f>IF(C160=0,0,C160/498)</f>
        <v/>
      </c>
      <c r="E160" s="9">
        <f>IF(C160=0,0,COUNTIF(_Data_A!C:C,2)/498)</f>
        <v/>
      </c>
      <c r="F160" s="9">
        <f>IF(C160=0,0,COUNTIF(_Data_A!G:G,0)/498)</f>
        <v/>
      </c>
      <c r="G160" s="9">
        <f>IF(D160=0,0,E160*F160)</f>
        <v/>
      </c>
      <c r="H160" s="9">
        <f>IF(G160=0,0,D160/G160)</f>
        <v/>
      </c>
      <c r="I160" s="9">
        <f>IF(H160&lt;=0,0,LOG(H160,2))</f>
        <v/>
      </c>
      <c r="J160" s="9">
        <f>D160*I160</f>
        <v/>
      </c>
    </row>
    <row r="161">
      <c r="A161" s="7" t="n">
        <v>2</v>
      </c>
      <c r="B161" s="7" t="n">
        <v>2</v>
      </c>
      <c r="C161" s="8">
        <f>COUNTIFS(_Data_A!C:C,2,_Data_A!G:G,2)</f>
        <v/>
      </c>
      <c r="D161" s="9">
        <f>IF(C161=0,0,C161/498)</f>
        <v/>
      </c>
      <c r="E161" s="9">
        <f>IF(C161=0,0,COUNTIF(_Data_A!C:C,2)/498)</f>
        <v/>
      </c>
      <c r="F161" s="9">
        <f>IF(C161=0,0,COUNTIF(_Data_A!G:G,2)/498)</f>
        <v/>
      </c>
      <c r="G161" s="9">
        <f>IF(D161=0,0,E161*F161)</f>
        <v/>
      </c>
      <c r="H161" s="9">
        <f>IF(G161=0,0,D161/G161)</f>
        <v/>
      </c>
      <c r="I161" s="9">
        <f>IF(H161&lt;=0,0,LOG(H161,2))</f>
        <v/>
      </c>
      <c r="J161" s="9">
        <f>D161*I161</f>
        <v/>
      </c>
    </row>
    <row r="162">
      <c r="A162" s="2" t="inlineStr">
        <is>
          <t>IM(x5,x3) =</t>
        </is>
      </c>
      <c r="B162" s="26" t="n"/>
      <c r="C162" s="26" t="n"/>
      <c r="D162" s="26" t="n"/>
      <c r="E162" s="26" t="n"/>
      <c r="F162" s="26" t="n"/>
      <c r="G162" s="26" t="n"/>
      <c r="H162" s="26" t="n"/>
      <c r="I162" s="27" t="n"/>
      <c r="J162" s="11">
        <f>SUM(J156:J161)</f>
        <v/>
      </c>
    </row>
    <row r="165">
      <c r="A165" s="4" t="inlineStr">
        <is>
          <t>x4 — x6</t>
        </is>
      </c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7" t="n"/>
    </row>
    <row r="166">
      <c r="A166" s="6" t="inlineStr">
        <is>
          <t>x4</t>
        </is>
      </c>
      <c r="B166" s="6" t="inlineStr">
        <is>
          <t>x6</t>
        </is>
      </c>
      <c r="C166" s="6" t="inlineStr">
        <is>
          <t>freq</t>
        </is>
      </c>
      <c r="D166" s="6" t="inlineStr">
        <is>
          <t>p(x4,x6)</t>
        </is>
      </c>
      <c r="E166" s="6" t="inlineStr">
        <is>
          <t>p(x4)</t>
        </is>
      </c>
      <c r="F166" s="6" t="inlineStr">
        <is>
          <t>p(x6)</t>
        </is>
      </c>
      <c r="G166" s="6" t="inlineStr">
        <is>
          <t>p(a)·p(b)</t>
        </is>
      </c>
      <c r="H166" s="6" t="inlineStr">
        <is>
          <t>ratio</t>
        </is>
      </c>
      <c r="I166" s="6" t="inlineStr">
        <is>
          <t>log₂(ratio)</t>
        </is>
      </c>
      <c r="J166" s="6" t="inlineStr">
        <is>
          <t>p·log₂(ratio)</t>
        </is>
      </c>
    </row>
    <row r="167">
      <c r="A167" s="7" t="n">
        <v>0</v>
      </c>
      <c r="B167" s="7" t="n">
        <v>0</v>
      </c>
      <c r="C167" s="8">
        <f>COUNTIFS(_Data_A!D:D,0,_Data_A!E:E,0)</f>
        <v/>
      </c>
      <c r="D167" s="9">
        <f>IF(C167=0,0,C167/498)</f>
        <v/>
      </c>
      <c r="E167" s="9">
        <f>IF(C167=0,0,COUNTIF(_Data_A!D:D,0)/498)</f>
        <v/>
      </c>
      <c r="F167" s="9">
        <f>IF(C167=0,0,COUNTIF(_Data_A!E:E,0)/498)</f>
        <v/>
      </c>
      <c r="G167" s="9">
        <f>IF(D167=0,0,E167*F167)</f>
        <v/>
      </c>
      <c r="H167" s="9">
        <f>IF(G167=0,0,D167/G167)</f>
        <v/>
      </c>
      <c r="I167" s="9">
        <f>IF(H167&lt;=0,0,LOG(H167,2))</f>
        <v/>
      </c>
      <c r="J167" s="9">
        <f>D167*I167</f>
        <v/>
      </c>
    </row>
    <row r="168">
      <c r="A168" s="7" t="n">
        <v>0</v>
      </c>
      <c r="B168" s="7" t="n">
        <v>1</v>
      </c>
      <c r="C168" s="8">
        <f>COUNTIFS(_Data_A!D:D,0,_Data_A!E:E,1)</f>
        <v/>
      </c>
      <c r="D168" s="9">
        <f>IF(C168=0,0,C168/498)</f>
        <v/>
      </c>
      <c r="E168" s="9">
        <f>IF(C168=0,0,COUNTIF(_Data_A!D:D,0)/498)</f>
        <v/>
      </c>
      <c r="F168" s="9">
        <f>IF(C168=0,0,COUNTIF(_Data_A!E:E,1)/498)</f>
        <v/>
      </c>
      <c r="G168" s="9">
        <f>IF(D168=0,0,E168*F168)</f>
        <v/>
      </c>
      <c r="H168" s="9">
        <f>IF(G168=0,0,D168/G168)</f>
        <v/>
      </c>
      <c r="I168" s="9">
        <f>IF(H168&lt;=0,0,LOG(H168,2))</f>
        <v/>
      </c>
      <c r="J168" s="9">
        <f>D168*I168</f>
        <v/>
      </c>
    </row>
    <row r="169">
      <c r="A169" s="7" t="n">
        <v>1</v>
      </c>
      <c r="B169" s="7" t="n">
        <v>0</v>
      </c>
      <c r="C169" s="8">
        <f>COUNTIFS(_Data_A!D:D,1,_Data_A!E:E,0)</f>
        <v/>
      </c>
      <c r="D169" s="9">
        <f>IF(C169=0,0,C169/498)</f>
        <v/>
      </c>
      <c r="E169" s="9">
        <f>IF(C169=0,0,COUNTIF(_Data_A!D:D,1)/498)</f>
        <v/>
      </c>
      <c r="F169" s="9">
        <f>IF(C169=0,0,COUNTIF(_Data_A!E:E,0)/498)</f>
        <v/>
      </c>
      <c r="G169" s="9">
        <f>IF(D169=0,0,E169*F169)</f>
        <v/>
      </c>
      <c r="H169" s="9">
        <f>IF(G169=0,0,D169/G169)</f>
        <v/>
      </c>
      <c r="I169" s="9">
        <f>IF(H169&lt;=0,0,LOG(H169,2))</f>
        <v/>
      </c>
      <c r="J169" s="9">
        <f>D169*I169</f>
        <v/>
      </c>
    </row>
    <row r="170">
      <c r="A170" s="7" t="n">
        <v>1</v>
      </c>
      <c r="B170" s="7" t="n">
        <v>1</v>
      </c>
      <c r="C170" s="8">
        <f>COUNTIFS(_Data_A!D:D,1,_Data_A!E:E,1)</f>
        <v/>
      </c>
      <c r="D170" s="9">
        <f>IF(C170=0,0,C170/498)</f>
        <v/>
      </c>
      <c r="E170" s="9">
        <f>IF(C170=0,0,COUNTIF(_Data_A!D:D,1)/498)</f>
        <v/>
      </c>
      <c r="F170" s="9">
        <f>IF(C170=0,0,COUNTIF(_Data_A!E:E,1)/498)</f>
        <v/>
      </c>
      <c r="G170" s="9">
        <f>IF(D170=0,0,E170*F170)</f>
        <v/>
      </c>
      <c r="H170" s="9">
        <f>IF(G170=0,0,D170/G170)</f>
        <v/>
      </c>
      <c r="I170" s="9">
        <f>IF(H170&lt;=0,0,LOG(H170,2))</f>
        <v/>
      </c>
      <c r="J170" s="9">
        <f>D170*I170</f>
        <v/>
      </c>
    </row>
    <row r="171">
      <c r="A171" s="2" t="inlineStr">
        <is>
          <t>IM(x4,x6) =</t>
        </is>
      </c>
      <c r="B171" s="26" t="n"/>
      <c r="C171" s="26" t="n"/>
      <c r="D171" s="26" t="n"/>
      <c r="E171" s="26" t="n"/>
      <c r="F171" s="26" t="n"/>
      <c r="G171" s="26" t="n"/>
      <c r="H171" s="26" t="n"/>
      <c r="I171" s="27" t="n"/>
      <c r="J171" s="11">
        <f>SUM(J167:J170)</f>
        <v/>
      </c>
    </row>
    <row r="174">
      <c r="A174" s="4" t="inlineStr">
        <is>
          <t>x4 — x9</t>
        </is>
      </c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7" t="n"/>
    </row>
    <row r="175">
      <c r="A175" s="6" t="inlineStr">
        <is>
          <t>x4</t>
        </is>
      </c>
      <c r="B175" s="6" t="inlineStr">
        <is>
          <t>x9</t>
        </is>
      </c>
      <c r="C175" s="6" t="inlineStr">
        <is>
          <t>freq</t>
        </is>
      </c>
      <c r="D175" s="6" t="inlineStr">
        <is>
          <t>p(x4,x9)</t>
        </is>
      </c>
      <c r="E175" s="6" t="inlineStr">
        <is>
          <t>p(x4)</t>
        </is>
      </c>
      <c r="F175" s="6" t="inlineStr">
        <is>
          <t>p(x9)</t>
        </is>
      </c>
      <c r="G175" s="6" t="inlineStr">
        <is>
          <t>p(a)·p(b)</t>
        </is>
      </c>
      <c r="H175" s="6" t="inlineStr">
        <is>
          <t>ratio</t>
        </is>
      </c>
      <c r="I175" s="6" t="inlineStr">
        <is>
          <t>log₂(ratio)</t>
        </is>
      </c>
      <c r="J175" s="6" t="inlineStr">
        <is>
          <t>p·log₂(ratio)</t>
        </is>
      </c>
    </row>
    <row r="176">
      <c r="A176" s="7" t="n">
        <v>0</v>
      </c>
      <c r="B176" s="7" t="n">
        <v>0</v>
      </c>
      <c r="C176" s="8">
        <f>COUNTIFS(_Data_A!D:D,0,_Data_A!F:F,0)</f>
        <v/>
      </c>
      <c r="D176" s="9">
        <f>IF(C176=0,0,C176/498)</f>
        <v/>
      </c>
      <c r="E176" s="9">
        <f>IF(C176=0,0,COUNTIF(_Data_A!D:D,0)/498)</f>
        <v/>
      </c>
      <c r="F176" s="9">
        <f>IF(C176=0,0,COUNTIF(_Data_A!F:F,0)/498)</f>
        <v/>
      </c>
      <c r="G176" s="9">
        <f>IF(D176=0,0,E176*F176)</f>
        <v/>
      </c>
      <c r="H176" s="9">
        <f>IF(G176=0,0,D176/G176)</f>
        <v/>
      </c>
      <c r="I176" s="9">
        <f>IF(H176&lt;=0,0,LOG(H176,2))</f>
        <v/>
      </c>
      <c r="J176" s="9">
        <f>D176*I176</f>
        <v/>
      </c>
    </row>
    <row r="177">
      <c r="A177" s="7" t="n">
        <v>0</v>
      </c>
      <c r="B177" s="7" t="n">
        <v>1</v>
      </c>
      <c r="C177" s="8">
        <f>COUNTIFS(_Data_A!D:D,0,_Data_A!F:F,1)</f>
        <v/>
      </c>
      <c r="D177" s="9">
        <f>IF(C177=0,0,C177/498)</f>
        <v/>
      </c>
      <c r="E177" s="9">
        <f>IF(C177=0,0,COUNTIF(_Data_A!D:D,0)/498)</f>
        <v/>
      </c>
      <c r="F177" s="9">
        <f>IF(C177=0,0,COUNTIF(_Data_A!F:F,1)/498)</f>
        <v/>
      </c>
      <c r="G177" s="9">
        <f>IF(D177=0,0,E177*F177)</f>
        <v/>
      </c>
      <c r="H177" s="9">
        <f>IF(G177=0,0,D177/G177)</f>
        <v/>
      </c>
      <c r="I177" s="9">
        <f>IF(H177&lt;=0,0,LOG(H177,2))</f>
        <v/>
      </c>
      <c r="J177" s="9">
        <f>D177*I177</f>
        <v/>
      </c>
    </row>
    <row r="178">
      <c r="A178" s="7" t="n">
        <v>0</v>
      </c>
      <c r="B178" s="7" t="n">
        <v>2</v>
      </c>
      <c r="C178" s="8">
        <f>COUNTIFS(_Data_A!D:D,0,_Data_A!F:F,2)</f>
        <v/>
      </c>
      <c r="D178" s="9">
        <f>IF(C178=0,0,C178/498)</f>
        <v/>
      </c>
      <c r="E178" s="9">
        <f>IF(C178=0,0,COUNTIF(_Data_A!D:D,0)/498)</f>
        <v/>
      </c>
      <c r="F178" s="9">
        <f>IF(C178=0,0,COUNTIF(_Data_A!F:F,2)/498)</f>
        <v/>
      </c>
      <c r="G178" s="9">
        <f>IF(D178=0,0,E178*F178)</f>
        <v/>
      </c>
      <c r="H178" s="9">
        <f>IF(G178=0,0,D178/G178)</f>
        <v/>
      </c>
      <c r="I178" s="9">
        <f>IF(H178&lt;=0,0,LOG(H178,2))</f>
        <v/>
      </c>
      <c r="J178" s="9">
        <f>D178*I178</f>
        <v/>
      </c>
    </row>
    <row r="179">
      <c r="A179" s="7" t="n">
        <v>0</v>
      </c>
      <c r="B179" s="7" t="n">
        <v>3</v>
      </c>
      <c r="C179" s="8">
        <f>COUNTIFS(_Data_A!D:D,0,_Data_A!F:F,3)</f>
        <v/>
      </c>
      <c r="D179" s="9">
        <f>IF(C179=0,0,C179/498)</f>
        <v/>
      </c>
      <c r="E179" s="9">
        <f>IF(C179=0,0,COUNTIF(_Data_A!D:D,0)/498)</f>
        <v/>
      </c>
      <c r="F179" s="9">
        <f>IF(C179=0,0,COUNTIF(_Data_A!F:F,3)/498)</f>
        <v/>
      </c>
      <c r="G179" s="9">
        <f>IF(D179=0,0,E179*F179)</f>
        <v/>
      </c>
      <c r="H179" s="9">
        <f>IF(G179=0,0,D179/G179)</f>
        <v/>
      </c>
      <c r="I179" s="9">
        <f>IF(H179&lt;=0,0,LOG(H179,2))</f>
        <v/>
      </c>
      <c r="J179" s="9">
        <f>D179*I179</f>
        <v/>
      </c>
    </row>
    <row r="180">
      <c r="A180" s="7" t="n">
        <v>1</v>
      </c>
      <c r="B180" s="7" t="n">
        <v>0</v>
      </c>
      <c r="C180" s="8">
        <f>COUNTIFS(_Data_A!D:D,1,_Data_A!F:F,0)</f>
        <v/>
      </c>
      <c r="D180" s="9">
        <f>IF(C180=0,0,C180/498)</f>
        <v/>
      </c>
      <c r="E180" s="9">
        <f>IF(C180=0,0,COUNTIF(_Data_A!D:D,1)/498)</f>
        <v/>
      </c>
      <c r="F180" s="9">
        <f>IF(C180=0,0,COUNTIF(_Data_A!F:F,0)/498)</f>
        <v/>
      </c>
      <c r="G180" s="9">
        <f>IF(D180=0,0,E180*F180)</f>
        <v/>
      </c>
      <c r="H180" s="9">
        <f>IF(G180=0,0,D180/G180)</f>
        <v/>
      </c>
      <c r="I180" s="9">
        <f>IF(H180&lt;=0,0,LOG(H180,2))</f>
        <v/>
      </c>
      <c r="J180" s="9">
        <f>D180*I180</f>
        <v/>
      </c>
    </row>
    <row r="181">
      <c r="A181" s="7" t="n">
        <v>1</v>
      </c>
      <c r="B181" s="7" t="n">
        <v>1</v>
      </c>
      <c r="C181" s="8">
        <f>COUNTIFS(_Data_A!D:D,1,_Data_A!F:F,1)</f>
        <v/>
      </c>
      <c r="D181" s="9">
        <f>IF(C181=0,0,C181/498)</f>
        <v/>
      </c>
      <c r="E181" s="9">
        <f>IF(C181=0,0,COUNTIF(_Data_A!D:D,1)/498)</f>
        <v/>
      </c>
      <c r="F181" s="9">
        <f>IF(C181=0,0,COUNTIF(_Data_A!F:F,1)/498)</f>
        <v/>
      </c>
      <c r="G181" s="9">
        <f>IF(D181=0,0,E181*F181)</f>
        <v/>
      </c>
      <c r="H181" s="9">
        <f>IF(G181=0,0,D181/G181)</f>
        <v/>
      </c>
      <c r="I181" s="9">
        <f>IF(H181&lt;=0,0,LOG(H181,2))</f>
        <v/>
      </c>
      <c r="J181" s="9">
        <f>D181*I181</f>
        <v/>
      </c>
    </row>
    <row r="182">
      <c r="A182" s="7" t="n">
        <v>1</v>
      </c>
      <c r="B182" s="7" t="n">
        <v>2</v>
      </c>
      <c r="C182" s="8">
        <f>COUNTIFS(_Data_A!D:D,1,_Data_A!F:F,2)</f>
        <v/>
      </c>
      <c r="D182" s="9">
        <f>IF(C182=0,0,C182/498)</f>
        <v/>
      </c>
      <c r="E182" s="9">
        <f>IF(C182=0,0,COUNTIF(_Data_A!D:D,1)/498)</f>
        <v/>
      </c>
      <c r="F182" s="9">
        <f>IF(C182=0,0,COUNTIF(_Data_A!F:F,2)/498)</f>
        <v/>
      </c>
      <c r="G182" s="9">
        <f>IF(D182=0,0,E182*F182)</f>
        <v/>
      </c>
      <c r="H182" s="9">
        <f>IF(G182=0,0,D182/G182)</f>
        <v/>
      </c>
      <c r="I182" s="9">
        <f>IF(H182&lt;=0,0,LOG(H182,2))</f>
        <v/>
      </c>
      <c r="J182" s="9">
        <f>D182*I182</f>
        <v/>
      </c>
    </row>
    <row r="183">
      <c r="A183" s="7" t="n">
        <v>1</v>
      </c>
      <c r="B183" s="7" t="n">
        <v>3</v>
      </c>
      <c r="C183" s="8">
        <f>COUNTIFS(_Data_A!D:D,1,_Data_A!F:F,3)</f>
        <v/>
      </c>
      <c r="D183" s="9">
        <f>IF(C183=0,0,C183/498)</f>
        <v/>
      </c>
      <c r="E183" s="9">
        <f>IF(C183=0,0,COUNTIF(_Data_A!D:D,1)/498)</f>
        <v/>
      </c>
      <c r="F183" s="9">
        <f>IF(C183=0,0,COUNTIF(_Data_A!F:F,3)/498)</f>
        <v/>
      </c>
      <c r="G183" s="9">
        <f>IF(D183=0,0,E183*F183)</f>
        <v/>
      </c>
      <c r="H183" s="9">
        <f>IF(G183=0,0,D183/G183)</f>
        <v/>
      </c>
      <c r="I183" s="9">
        <f>IF(H183&lt;=0,0,LOG(H183,2))</f>
        <v/>
      </c>
      <c r="J183" s="9">
        <f>D183*I183</f>
        <v/>
      </c>
    </row>
    <row r="184">
      <c r="A184" s="2" t="inlineStr">
        <is>
          <t>IM(x4,x9) =</t>
        </is>
      </c>
      <c r="B184" s="26" t="n"/>
      <c r="C184" s="26" t="n"/>
      <c r="D184" s="26" t="n"/>
      <c r="E184" s="26" t="n"/>
      <c r="F184" s="26" t="n"/>
      <c r="G184" s="26" t="n"/>
      <c r="H184" s="26" t="n"/>
      <c r="I184" s="27" t="n"/>
      <c r="J184" s="11">
        <f>SUM(J176:J183)</f>
        <v/>
      </c>
    </row>
    <row r="187">
      <c r="A187" s="4" t="inlineStr">
        <is>
          <t>x4 — x3</t>
        </is>
      </c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7" t="n"/>
    </row>
    <row r="188">
      <c r="A188" s="6" t="inlineStr">
        <is>
          <t>x4</t>
        </is>
      </c>
      <c r="B188" s="6" t="inlineStr">
        <is>
          <t>x3</t>
        </is>
      </c>
      <c r="C188" s="6" t="inlineStr">
        <is>
          <t>freq</t>
        </is>
      </c>
      <c r="D188" s="6" t="inlineStr">
        <is>
          <t>p(x4,x3)</t>
        </is>
      </c>
      <c r="E188" s="6" t="inlineStr">
        <is>
          <t>p(x4)</t>
        </is>
      </c>
      <c r="F188" s="6" t="inlineStr">
        <is>
          <t>p(x3)</t>
        </is>
      </c>
      <c r="G188" s="6" t="inlineStr">
        <is>
          <t>p(a)·p(b)</t>
        </is>
      </c>
      <c r="H188" s="6" t="inlineStr">
        <is>
          <t>ratio</t>
        </is>
      </c>
      <c r="I188" s="6" t="inlineStr">
        <is>
          <t>log₂(ratio)</t>
        </is>
      </c>
      <c r="J188" s="6" t="inlineStr">
        <is>
          <t>p·log₂(ratio)</t>
        </is>
      </c>
    </row>
    <row r="189">
      <c r="A189" s="7" t="n">
        <v>0</v>
      </c>
      <c r="B189" s="7" t="n">
        <v>0</v>
      </c>
      <c r="C189" s="8">
        <f>COUNTIFS(_Data_A!D:D,0,_Data_A!G:G,0)</f>
        <v/>
      </c>
      <c r="D189" s="9">
        <f>IF(C189=0,0,C189/498)</f>
        <v/>
      </c>
      <c r="E189" s="9">
        <f>IF(C189=0,0,COUNTIF(_Data_A!D:D,0)/498)</f>
        <v/>
      </c>
      <c r="F189" s="9">
        <f>IF(C189=0,0,COUNTIF(_Data_A!G:G,0)/498)</f>
        <v/>
      </c>
      <c r="G189" s="9">
        <f>IF(D189=0,0,E189*F189)</f>
        <v/>
      </c>
      <c r="H189" s="9">
        <f>IF(G189=0,0,D189/G189)</f>
        <v/>
      </c>
      <c r="I189" s="9">
        <f>IF(H189&lt;=0,0,LOG(H189,2))</f>
        <v/>
      </c>
      <c r="J189" s="9">
        <f>D189*I189</f>
        <v/>
      </c>
    </row>
    <row r="190">
      <c r="A190" s="7" t="n">
        <v>0</v>
      </c>
      <c r="B190" s="7" t="n">
        <v>2</v>
      </c>
      <c r="C190" s="8">
        <f>COUNTIFS(_Data_A!D:D,0,_Data_A!G:G,2)</f>
        <v/>
      </c>
      <c r="D190" s="9">
        <f>IF(C190=0,0,C190/498)</f>
        <v/>
      </c>
      <c r="E190" s="9">
        <f>IF(C190=0,0,COUNTIF(_Data_A!D:D,0)/498)</f>
        <v/>
      </c>
      <c r="F190" s="9">
        <f>IF(C190=0,0,COUNTIF(_Data_A!G:G,2)/498)</f>
        <v/>
      </c>
      <c r="G190" s="9">
        <f>IF(D190=0,0,E190*F190)</f>
        <v/>
      </c>
      <c r="H190" s="9">
        <f>IF(G190=0,0,D190/G190)</f>
        <v/>
      </c>
      <c r="I190" s="9">
        <f>IF(H190&lt;=0,0,LOG(H190,2))</f>
        <v/>
      </c>
      <c r="J190" s="9">
        <f>D190*I190</f>
        <v/>
      </c>
    </row>
    <row r="191">
      <c r="A191" s="7" t="n">
        <v>1</v>
      </c>
      <c r="B191" s="7" t="n">
        <v>0</v>
      </c>
      <c r="C191" s="8">
        <f>COUNTIFS(_Data_A!D:D,1,_Data_A!G:G,0)</f>
        <v/>
      </c>
      <c r="D191" s="9">
        <f>IF(C191=0,0,C191/498)</f>
        <v/>
      </c>
      <c r="E191" s="9">
        <f>IF(C191=0,0,COUNTIF(_Data_A!D:D,1)/498)</f>
        <v/>
      </c>
      <c r="F191" s="9">
        <f>IF(C191=0,0,COUNTIF(_Data_A!G:G,0)/498)</f>
        <v/>
      </c>
      <c r="G191" s="9">
        <f>IF(D191=0,0,E191*F191)</f>
        <v/>
      </c>
      <c r="H191" s="9">
        <f>IF(G191=0,0,D191/G191)</f>
        <v/>
      </c>
      <c r="I191" s="9">
        <f>IF(H191&lt;=0,0,LOG(H191,2))</f>
        <v/>
      </c>
      <c r="J191" s="9">
        <f>D191*I191</f>
        <v/>
      </c>
    </row>
    <row r="192">
      <c r="A192" s="7" t="n">
        <v>1</v>
      </c>
      <c r="B192" s="7" t="n">
        <v>2</v>
      </c>
      <c r="C192" s="8">
        <f>COUNTIFS(_Data_A!D:D,1,_Data_A!G:G,2)</f>
        <v/>
      </c>
      <c r="D192" s="9">
        <f>IF(C192=0,0,C192/498)</f>
        <v/>
      </c>
      <c r="E192" s="9">
        <f>IF(C192=0,0,COUNTIF(_Data_A!D:D,1)/498)</f>
        <v/>
      </c>
      <c r="F192" s="9">
        <f>IF(C192=0,0,COUNTIF(_Data_A!G:G,2)/498)</f>
        <v/>
      </c>
      <c r="G192" s="9">
        <f>IF(D192=0,0,E192*F192)</f>
        <v/>
      </c>
      <c r="H192" s="9">
        <f>IF(G192=0,0,D192/G192)</f>
        <v/>
      </c>
      <c r="I192" s="9">
        <f>IF(H192&lt;=0,0,LOG(H192,2))</f>
        <v/>
      </c>
      <c r="J192" s="9">
        <f>D192*I192</f>
        <v/>
      </c>
    </row>
    <row r="193">
      <c r="A193" s="2" t="inlineStr">
        <is>
          <t>IM(x4,x3) =</t>
        </is>
      </c>
      <c r="B193" s="26" t="n"/>
      <c r="C193" s="26" t="n"/>
      <c r="D193" s="26" t="n"/>
      <c r="E193" s="26" t="n"/>
      <c r="F193" s="26" t="n"/>
      <c r="G193" s="26" t="n"/>
      <c r="H193" s="26" t="n"/>
      <c r="I193" s="27" t="n"/>
      <c r="J193" s="11">
        <f>SUM(J189:J192)</f>
        <v/>
      </c>
    </row>
    <row r="196">
      <c r="A196" s="4" t="inlineStr">
        <is>
          <t>x6 — x9</t>
        </is>
      </c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7" t="n"/>
    </row>
    <row r="197">
      <c r="A197" s="6" t="inlineStr">
        <is>
          <t>x6</t>
        </is>
      </c>
      <c r="B197" s="6" t="inlineStr">
        <is>
          <t>x9</t>
        </is>
      </c>
      <c r="C197" s="6" t="inlineStr">
        <is>
          <t>freq</t>
        </is>
      </c>
      <c r="D197" s="6" t="inlineStr">
        <is>
          <t>p(x6,x9)</t>
        </is>
      </c>
      <c r="E197" s="6" t="inlineStr">
        <is>
          <t>p(x6)</t>
        </is>
      </c>
      <c r="F197" s="6" t="inlineStr">
        <is>
          <t>p(x9)</t>
        </is>
      </c>
      <c r="G197" s="6" t="inlineStr">
        <is>
          <t>p(a)·p(b)</t>
        </is>
      </c>
      <c r="H197" s="6" t="inlineStr">
        <is>
          <t>ratio</t>
        </is>
      </c>
      <c r="I197" s="6" t="inlineStr">
        <is>
          <t>log₂(ratio)</t>
        </is>
      </c>
      <c r="J197" s="6" t="inlineStr">
        <is>
          <t>p·log₂(ratio)</t>
        </is>
      </c>
    </row>
    <row r="198">
      <c r="A198" s="7" t="n">
        <v>0</v>
      </c>
      <c r="B198" s="7" t="n">
        <v>0</v>
      </c>
      <c r="C198" s="8">
        <f>COUNTIFS(_Data_A!E:E,0,_Data_A!F:F,0)</f>
        <v/>
      </c>
      <c r="D198" s="9">
        <f>IF(C198=0,0,C198/498)</f>
        <v/>
      </c>
      <c r="E198" s="9">
        <f>IF(C198=0,0,COUNTIF(_Data_A!E:E,0)/498)</f>
        <v/>
      </c>
      <c r="F198" s="9">
        <f>IF(C198=0,0,COUNTIF(_Data_A!F:F,0)/498)</f>
        <v/>
      </c>
      <c r="G198" s="9">
        <f>IF(D198=0,0,E198*F198)</f>
        <v/>
      </c>
      <c r="H198" s="9">
        <f>IF(G198=0,0,D198/G198)</f>
        <v/>
      </c>
      <c r="I198" s="9">
        <f>IF(H198&lt;=0,0,LOG(H198,2))</f>
        <v/>
      </c>
      <c r="J198" s="9">
        <f>D198*I198</f>
        <v/>
      </c>
    </row>
    <row r="199">
      <c r="A199" s="7" t="n">
        <v>0</v>
      </c>
      <c r="B199" s="7" t="n">
        <v>1</v>
      </c>
      <c r="C199" s="8">
        <f>COUNTIFS(_Data_A!E:E,0,_Data_A!F:F,1)</f>
        <v/>
      </c>
      <c r="D199" s="9">
        <f>IF(C199=0,0,C199/498)</f>
        <v/>
      </c>
      <c r="E199" s="9">
        <f>IF(C199=0,0,COUNTIF(_Data_A!E:E,0)/498)</f>
        <v/>
      </c>
      <c r="F199" s="9">
        <f>IF(C199=0,0,COUNTIF(_Data_A!F:F,1)/498)</f>
        <v/>
      </c>
      <c r="G199" s="9">
        <f>IF(D199=0,0,E199*F199)</f>
        <v/>
      </c>
      <c r="H199" s="9">
        <f>IF(G199=0,0,D199/G199)</f>
        <v/>
      </c>
      <c r="I199" s="9">
        <f>IF(H199&lt;=0,0,LOG(H199,2))</f>
        <v/>
      </c>
      <c r="J199" s="9">
        <f>D199*I199</f>
        <v/>
      </c>
    </row>
    <row r="200">
      <c r="A200" s="7" t="n">
        <v>0</v>
      </c>
      <c r="B200" s="7" t="n">
        <v>2</v>
      </c>
      <c r="C200" s="8">
        <f>COUNTIFS(_Data_A!E:E,0,_Data_A!F:F,2)</f>
        <v/>
      </c>
      <c r="D200" s="9">
        <f>IF(C200=0,0,C200/498)</f>
        <v/>
      </c>
      <c r="E200" s="9">
        <f>IF(C200=0,0,COUNTIF(_Data_A!E:E,0)/498)</f>
        <v/>
      </c>
      <c r="F200" s="9">
        <f>IF(C200=0,0,COUNTIF(_Data_A!F:F,2)/498)</f>
        <v/>
      </c>
      <c r="G200" s="9">
        <f>IF(D200=0,0,E200*F200)</f>
        <v/>
      </c>
      <c r="H200" s="9">
        <f>IF(G200=0,0,D200/G200)</f>
        <v/>
      </c>
      <c r="I200" s="9">
        <f>IF(H200&lt;=0,0,LOG(H200,2))</f>
        <v/>
      </c>
      <c r="J200" s="9">
        <f>D200*I200</f>
        <v/>
      </c>
    </row>
    <row r="201">
      <c r="A201" s="7" t="n">
        <v>0</v>
      </c>
      <c r="B201" s="7" t="n">
        <v>3</v>
      </c>
      <c r="C201" s="8">
        <f>COUNTIFS(_Data_A!E:E,0,_Data_A!F:F,3)</f>
        <v/>
      </c>
      <c r="D201" s="9">
        <f>IF(C201=0,0,C201/498)</f>
        <v/>
      </c>
      <c r="E201" s="9">
        <f>IF(C201=0,0,COUNTIF(_Data_A!E:E,0)/498)</f>
        <v/>
      </c>
      <c r="F201" s="9">
        <f>IF(C201=0,0,COUNTIF(_Data_A!F:F,3)/498)</f>
        <v/>
      </c>
      <c r="G201" s="9">
        <f>IF(D201=0,0,E201*F201)</f>
        <v/>
      </c>
      <c r="H201" s="9">
        <f>IF(G201=0,0,D201/G201)</f>
        <v/>
      </c>
      <c r="I201" s="9">
        <f>IF(H201&lt;=0,0,LOG(H201,2))</f>
        <v/>
      </c>
      <c r="J201" s="9">
        <f>D201*I201</f>
        <v/>
      </c>
    </row>
    <row r="202">
      <c r="A202" s="7" t="n">
        <v>1</v>
      </c>
      <c r="B202" s="7" t="n">
        <v>0</v>
      </c>
      <c r="C202" s="8">
        <f>COUNTIFS(_Data_A!E:E,1,_Data_A!F:F,0)</f>
        <v/>
      </c>
      <c r="D202" s="9">
        <f>IF(C202=0,0,C202/498)</f>
        <v/>
      </c>
      <c r="E202" s="9">
        <f>IF(C202=0,0,COUNTIF(_Data_A!E:E,1)/498)</f>
        <v/>
      </c>
      <c r="F202" s="9">
        <f>IF(C202=0,0,COUNTIF(_Data_A!F:F,0)/498)</f>
        <v/>
      </c>
      <c r="G202" s="9">
        <f>IF(D202=0,0,E202*F202)</f>
        <v/>
      </c>
      <c r="H202" s="9">
        <f>IF(G202=0,0,D202/G202)</f>
        <v/>
      </c>
      <c r="I202" s="9">
        <f>IF(H202&lt;=0,0,LOG(H202,2))</f>
        <v/>
      </c>
      <c r="J202" s="9">
        <f>D202*I202</f>
        <v/>
      </c>
    </row>
    <row r="203">
      <c r="A203" s="7" t="n">
        <v>1</v>
      </c>
      <c r="B203" s="7" t="n">
        <v>1</v>
      </c>
      <c r="C203" s="8">
        <f>COUNTIFS(_Data_A!E:E,1,_Data_A!F:F,1)</f>
        <v/>
      </c>
      <c r="D203" s="9">
        <f>IF(C203=0,0,C203/498)</f>
        <v/>
      </c>
      <c r="E203" s="9">
        <f>IF(C203=0,0,COUNTIF(_Data_A!E:E,1)/498)</f>
        <v/>
      </c>
      <c r="F203" s="9">
        <f>IF(C203=0,0,COUNTIF(_Data_A!F:F,1)/498)</f>
        <v/>
      </c>
      <c r="G203" s="9">
        <f>IF(D203=0,0,E203*F203)</f>
        <v/>
      </c>
      <c r="H203" s="9">
        <f>IF(G203=0,0,D203/G203)</f>
        <v/>
      </c>
      <c r="I203" s="9">
        <f>IF(H203&lt;=0,0,LOG(H203,2))</f>
        <v/>
      </c>
      <c r="J203" s="9">
        <f>D203*I203</f>
        <v/>
      </c>
    </row>
    <row r="204">
      <c r="A204" s="7" t="n">
        <v>1</v>
      </c>
      <c r="B204" s="7" t="n">
        <v>2</v>
      </c>
      <c r="C204" s="8">
        <f>COUNTIFS(_Data_A!E:E,1,_Data_A!F:F,2)</f>
        <v/>
      </c>
      <c r="D204" s="9">
        <f>IF(C204=0,0,C204/498)</f>
        <v/>
      </c>
      <c r="E204" s="9">
        <f>IF(C204=0,0,COUNTIF(_Data_A!E:E,1)/498)</f>
        <v/>
      </c>
      <c r="F204" s="9">
        <f>IF(C204=0,0,COUNTIF(_Data_A!F:F,2)/498)</f>
        <v/>
      </c>
      <c r="G204" s="9">
        <f>IF(D204=0,0,E204*F204)</f>
        <v/>
      </c>
      <c r="H204" s="9">
        <f>IF(G204=0,0,D204/G204)</f>
        <v/>
      </c>
      <c r="I204" s="9">
        <f>IF(H204&lt;=0,0,LOG(H204,2))</f>
        <v/>
      </c>
      <c r="J204" s="9">
        <f>D204*I204</f>
        <v/>
      </c>
    </row>
    <row r="205">
      <c r="A205" s="7" t="n">
        <v>1</v>
      </c>
      <c r="B205" s="7" t="n">
        <v>3</v>
      </c>
      <c r="C205" s="8">
        <f>COUNTIFS(_Data_A!E:E,1,_Data_A!F:F,3)</f>
        <v/>
      </c>
      <c r="D205" s="9">
        <f>IF(C205=0,0,C205/498)</f>
        <v/>
      </c>
      <c r="E205" s="9">
        <f>IF(C205=0,0,COUNTIF(_Data_A!E:E,1)/498)</f>
        <v/>
      </c>
      <c r="F205" s="9">
        <f>IF(C205=0,0,COUNTIF(_Data_A!F:F,3)/498)</f>
        <v/>
      </c>
      <c r="G205" s="9">
        <f>IF(D205=0,0,E205*F205)</f>
        <v/>
      </c>
      <c r="H205" s="9">
        <f>IF(G205=0,0,D205/G205)</f>
        <v/>
      </c>
      <c r="I205" s="9">
        <f>IF(H205&lt;=0,0,LOG(H205,2))</f>
        <v/>
      </c>
      <c r="J205" s="9">
        <f>D205*I205</f>
        <v/>
      </c>
    </row>
    <row r="206">
      <c r="A206" s="2" t="inlineStr">
        <is>
          <t>IM(x6,x9) =</t>
        </is>
      </c>
      <c r="B206" s="26" t="n"/>
      <c r="C206" s="26" t="n"/>
      <c r="D206" s="26" t="n"/>
      <c r="E206" s="26" t="n"/>
      <c r="F206" s="26" t="n"/>
      <c r="G206" s="26" t="n"/>
      <c r="H206" s="26" t="n"/>
      <c r="I206" s="27" t="n"/>
      <c r="J206" s="11">
        <f>SUM(J198:J205)</f>
        <v/>
      </c>
    </row>
    <row r="209">
      <c r="A209" s="4" t="inlineStr">
        <is>
          <t>x6 — x3</t>
        </is>
      </c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7" t="n"/>
    </row>
    <row r="210">
      <c r="A210" s="6" t="inlineStr">
        <is>
          <t>x6</t>
        </is>
      </c>
      <c r="B210" s="6" t="inlineStr">
        <is>
          <t>x3</t>
        </is>
      </c>
      <c r="C210" s="6" t="inlineStr">
        <is>
          <t>freq</t>
        </is>
      </c>
      <c r="D210" s="6" t="inlineStr">
        <is>
          <t>p(x6,x3)</t>
        </is>
      </c>
      <c r="E210" s="6" t="inlineStr">
        <is>
          <t>p(x6)</t>
        </is>
      </c>
      <c r="F210" s="6" t="inlineStr">
        <is>
          <t>p(x3)</t>
        </is>
      </c>
      <c r="G210" s="6" t="inlineStr">
        <is>
          <t>p(a)·p(b)</t>
        </is>
      </c>
      <c r="H210" s="6" t="inlineStr">
        <is>
          <t>ratio</t>
        </is>
      </c>
      <c r="I210" s="6" t="inlineStr">
        <is>
          <t>log₂(ratio)</t>
        </is>
      </c>
      <c r="J210" s="6" t="inlineStr">
        <is>
          <t>p·log₂(ratio)</t>
        </is>
      </c>
    </row>
    <row r="211">
      <c r="A211" s="7" t="n">
        <v>0</v>
      </c>
      <c r="B211" s="7" t="n">
        <v>0</v>
      </c>
      <c r="C211" s="8">
        <f>COUNTIFS(_Data_A!E:E,0,_Data_A!G:G,0)</f>
        <v/>
      </c>
      <c r="D211" s="9">
        <f>IF(C211=0,0,C211/498)</f>
        <v/>
      </c>
      <c r="E211" s="9">
        <f>IF(C211=0,0,COUNTIF(_Data_A!E:E,0)/498)</f>
        <v/>
      </c>
      <c r="F211" s="9">
        <f>IF(C211=0,0,COUNTIF(_Data_A!G:G,0)/498)</f>
        <v/>
      </c>
      <c r="G211" s="9">
        <f>IF(D211=0,0,E211*F211)</f>
        <v/>
      </c>
      <c r="H211" s="9">
        <f>IF(G211=0,0,D211/G211)</f>
        <v/>
      </c>
      <c r="I211" s="9">
        <f>IF(H211&lt;=0,0,LOG(H211,2))</f>
        <v/>
      </c>
      <c r="J211" s="9">
        <f>D211*I211</f>
        <v/>
      </c>
    </row>
    <row r="212">
      <c r="A212" s="7" t="n">
        <v>0</v>
      </c>
      <c r="B212" s="7" t="n">
        <v>2</v>
      </c>
      <c r="C212" s="8">
        <f>COUNTIFS(_Data_A!E:E,0,_Data_A!G:G,2)</f>
        <v/>
      </c>
      <c r="D212" s="9">
        <f>IF(C212=0,0,C212/498)</f>
        <v/>
      </c>
      <c r="E212" s="9">
        <f>IF(C212=0,0,COUNTIF(_Data_A!E:E,0)/498)</f>
        <v/>
      </c>
      <c r="F212" s="9">
        <f>IF(C212=0,0,COUNTIF(_Data_A!G:G,2)/498)</f>
        <v/>
      </c>
      <c r="G212" s="9">
        <f>IF(D212=0,0,E212*F212)</f>
        <v/>
      </c>
      <c r="H212" s="9">
        <f>IF(G212=0,0,D212/G212)</f>
        <v/>
      </c>
      <c r="I212" s="9">
        <f>IF(H212&lt;=0,0,LOG(H212,2))</f>
        <v/>
      </c>
      <c r="J212" s="9">
        <f>D212*I212</f>
        <v/>
      </c>
    </row>
    <row r="213">
      <c r="A213" s="7" t="n">
        <v>1</v>
      </c>
      <c r="B213" s="7" t="n">
        <v>0</v>
      </c>
      <c r="C213" s="8">
        <f>COUNTIFS(_Data_A!E:E,1,_Data_A!G:G,0)</f>
        <v/>
      </c>
      <c r="D213" s="9">
        <f>IF(C213=0,0,C213/498)</f>
        <v/>
      </c>
      <c r="E213" s="9">
        <f>IF(C213=0,0,COUNTIF(_Data_A!E:E,1)/498)</f>
        <v/>
      </c>
      <c r="F213" s="9">
        <f>IF(C213=0,0,COUNTIF(_Data_A!G:G,0)/498)</f>
        <v/>
      </c>
      <c r="G213" s="9">
        <f>IF(D213=0,0,E213*F213)</f>
        <v/>
      </c>
      <c r="H213" s="9">
        <f>IF(G213=0,0,D213/G213)</f>
        <v/>
      </c>
      <c r="I213" s="9">
        <f>IF(H213&lt;=0,0,LOG(H213,2))</f>
        <v/>
      </c>
      <c r="J213" s="9">
        <f>D213*I213</f>
        <v/>
      </c>
    </row>
    <row r="214">
      <c r="A214" s="7" t="n">
        <v>1</v>
      </c>
      <c r="B214" s="7" t="n">
        <v>2</v>
      </c>
      <c r="C214" s="8">
        <f>COUNTIFS(_Data_A!E:E,1,_Data_A!G:G,2)</f>
        <v/>
      </c>
      <c r="D214" s="9">
        <f>IF(C214=0,0,C214/498)</f>
        <v/>
      </c>
      <c r="E214" s="9">
        <f>IF(C214=0,0,COUNTIF(_Data_A!E:E,1)/498)</f>
        <v/>
      </c>
      <c r="F214" s="9">
        <f>IF(C214=0,0,COUNTIF(_Data_A!G:G,2)/498)</f>
        <v/>
      </c>
      <c r="G214" s="9">
        <f>IF(D214=0,0,E214*F214)</f>
        <v/>
      </c>
      <c r="H214" s="9">
        <f>IF(G214=0,0,D214/G214)</f>
        <v/>
      </c>
      <c r="I214" s="9">
        <f>IF(H214&lt;=0,0,LOG(H214,2))</f>
        <v/>
      </c>
      <c r="J214" s="9">
        <f>D214*I214</f>
        <v/>
      </c>
    </row>
    <row r="215">
      <c r="A215" s="2" t="inlineStr">
        <is>
          <t>IM(x6,x3) =</t>
        </is>
      </c>
      <c r="B215" s="26" t="n"/>
      <c r="C215" s="26" t="n"/>
      <c r="D215" s="26" t="n"/>
      <c r="E215" s="26" t="n"/>
      <c r="F215" s="26" t="n"/>
      <c r="G215" s="26" t="n"/>
      <c r="H215" s="26" t="n"/>
      <c r="I215" s="27" t="n"/>
      <c r="J215" s="11">
        <f>SUM(J211:J214)</f>
        <v/>
      </c>
    </row>
    <row r="218">
      <c r="A218" s="4" t="inlineStr">
        <is>
          <t>x9 — x3</t>
        </is>
      </c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7" t="n"/>
    </row>
    <row r="219">
      <c r="A219" s="6" t="inlineStr">
        <is>
          <t>x9</t>
        </is>
      </c>
      <c r="B219" s="6" t="inlineStr">
        <is>
          <t>x3</t>
        </is>
      </c>
      <c r="C219" s="6" t="inlineStr">
        <is>
          <t>freq</t>
        </is>
      </c>
      <c r="D219" s="6" t="inlineStr">
        <is>
          <t>p(x9,x3)</t>
        </is>
      </c>
      <c r="E219" s="6" t="inlineStr">
        <is>
          <t>p(x9)</t>
        </is>
      </c>
      <c r="F219" s="6" t="inlineStr">
        <is>
          <t>p(x3)</t>
        </is>
      </c>
      <c r="G219" s="6" t="inlineStr">
        <is>
          <t>p(a)·p(b)</t>
        </is>
      </c>
      <c r="H219" s="6" t="inlineStr">
        <is>
          <t>ratio</t>
        </is>
      </c>
      <c r="I219" s="6" t="inlineStr">
        <is>
          <t>log₂(ratio)</t>
        </is>
      </c>
      <c r="J219" s="6" t="inlineStr">
        <is>
          <t>p·log₂(ratio)</t>
        </is>
      </c>
    </row>
    <row r="220">
      <c r="A220" s="7" t="n">
        <v>0</v>
      </c>
      <c r="B220" s="7" t="n">
        <v>0</v>
      </c>
      <c r="C220" s="8">
        <f>COUNTIFS(_Data_A!F:F,0,_Data_A!G:G,0)</f>
        <v/>
      </c>
      <c r="D220" s="9">
        <f>IF(C220=0,0,C220/498)</f>
        <v/>
      </c>
      <c r="E220" s="9">
        <f>IF(C220=0,0,COUNTIF(_Data_A!F:F,0)/498)</f>
        <v/>
      </c>
      <c r="F220" s="9">
        <f>IF(C220=0,0,COUNTIF(_Data_A!G:G,0)/498)</f>
        <v/>
      </c>
      <c r="G220" s="9">
        <f>IF(D220=0,0,E220*F220)</f>
        <v/>
      </c>
      <c r="H220" s="9">
        <f>IF(G220=0,0,D220/G220)</f>
        <v/>
      </c>
      <c r="I220" s="9">
        <f>IF(H220&lt;=0,0,LOG(H220,2))</f>
        <v/>
      </c>
      <c r="J220" s="9">
        <f>D220*I220</f>
        <v/>
      </c>
    </row>
    <row r="221">
      <c r="A221" s="7" t="n">
        <v>0</v>
      </c>
      <c r="B221" s="7" t="n">
        <v>2</v>
      </c>
      <c r="C221" s="8">
        <f>COUNTIFS(_Data_A!F:F,0,_Data_A!G:G,2)</f>
        <v/>
      </c>
      <c r="D221" s="9">
        <f>IF(C221=0,0,C221/498)</f>
        <v/>
      </c>
      <c r="E221" s="9">
        <f>IF(C221=0,0,COUNTIF(_Data_A!F:F,0)/498)</f>
        <v/>
      </c>
      <c r="F221" s="9">
        <f>IF(C221=0,0,COUNTIF(_Data_A!G:G,2)/498)</f>
        <v/>
      </c>
      <c r="G221" s="9">
        <f>IF(D221=0,0,E221*F221)</f>
        <v/>
      </c>
      <c r="H221" s="9">
        <f>IF(G221=0,0,D221/G221)</f>
        <v/>
      </c>
      <c r="I221" s="9">
        <f>IF(H221&lt;=0,0,LOG(H221,2))</f>
        <v/>
      </c>
      <c r="J221" s="9">
        <f>D221*I221</f>
        <v/>
      </c>
    </row>
    <row r="222">
      <c r="A222" s="7" t="n">
        <v>1</v>
      </c>
      <c r="B222" s="7" t="n">
        <v>0</v>
      </c>
      <c r="C222" s="8">
        <f>COUNTIFS(_Data_A!F:F,1,_Data_A!G:G,0)</f>
        <v/>
      </c>
      <c r="D222" s="9">
        <f>IF(C222=0,0,C222/498)</f>
        <v/>
      </c>
      <c r="E222" s="9">
        <f>IF(C222=0,0,COUNTIF(_Data_A!F:F,1)/498)</f>
        <v/>
      </c>
      <c r="F222" s="9">
        <f>IF(C222=0,0,COUNTIF(_Data_A!G:G,0)/498)</f>
        <v/>
      </c>
      <c r="G222" s="9">
        <f>IF(D222=0,0,E222*F222)</f>
        <v/>
      </c>
      <c r="H222" s="9">
        <f>IF(G222=0,0,D222/G222)</f>
        <v/>
      </c>
      <c r="I222" s="9">
        <f>IF(H222&lt;=0,0,LOG(H222,2))</f>
        <v/>
      </c>
      <c r="J222" s="9">
        <f>D222*I222</f>
        <v/>
      </c>
    </row>
    <row r="223">
      <c r="A223" s="7" t="n">
        <v>1</v>
      </c>
      <c r="B223" s="7" t="n">
        <v>2</v>
      </c>
      <c r="C223" s="8">
        <f>COUNTIFS(_Data_A!F:F,1,_Data_A!G:G,2)</f>
        <v/>
      </c>
      <c r="D223" s="9">
        <f>IF(C223=0,0,C223/498)</f>
        <v/>
      </c>
      <c r="E223" s="9">
        <f>IF(C223=0,0,COUNTIF(_Data_A!F:F,1)/498)</f>
        <v/>
      </c>
      <c r="F223" s="9">
        <f>IF(C223=0,0,COUNTIF(_Data_A!G:G,2)/498)</f>
        <v/>
      </c>
      <c r="G223" s="9">
        <f>IF(D223=0,0,E223*F223)</f>
        <v/>
      </c>
      <c r="H223" s="9">
        <f>IF(G223=0,0,D223/G223)</f>
        <v/>
      </c>
      <c r="I223" s="9">
        <f>IF(H223&lt;=0,0,LOG(H223,2))</f>
        <v/>
      </c>
      <c r="J223" s="9">
        <f>D223*I223</f>
        <v/>
      </c>
    </row>
    <row r="224">
      <c r="A224" s="7" t="n">
        <v>2</v>
      </c>
      <c r="B224" s="7" t="n">
        <v>0</v>
      </c>
      <c r="C224" s="8">
        <f>COUNTIFS(_Data_A!F:F,2,_Data_A!G:G,0)</f>
        <v/>
      </c>
      <c r="D224" s="9">
        <f>IF(C224=0,0,C224/498)</f>
        <v/>
      </c>
      <c r="E224" s="9">
        <f>IF(C224=0,0,COUNTIF(_Data_A!F:F,2)/498)</f>
        <v/>
      </c>
      <c r="F224" s="9">
        <f>IF(C224=0,0,COUNTIF(_Data_A!G:G,0)/498)</f>
        <v/>
      </c>
      <c r="G224" s="9">
        <f>IF(D224=0,0,E224*F224)</f>
        <v/>
      </c>
      <c r="H224" s="9">
        <f>IF(G224=0,0,D224/G224)</f>
        <v/>
      </c>
      <c r="I224" s="9">
        <f>IF(H224&lt;=0,0,LOG(H224,2))</f>
        <v/>
      </c>
      <c r="J224" s="9">
        <f>D224*I224</f>
        <v/>
      </c>
    </row>
    <row r="225">
      <c r="A225" s="7" t="n">
        <v>2</v>
      </c>
      <c r="B225" s="7" t="n">
        <v>2</v>
      </c>
      <c r="C225" s="8">
        <f>COUNTIFS(_Data_A!F:F,2,_Data_A!G:G,2)</f>
        <v/>
      </c>
      <c r="D225" s="9">
        <f>IF(C225=0,0,C225/498)</f>
        <v/>
      </c>
      <c r="E225" s="9">
        <f>IF(C225=0,0,COUNTIF(_Data_A!F:F,2)/498)</f>
        <v/>
      </c>
      <c r="F225" s="9">
        <f>IF(C225=0,0,COUNTIF(_Data_A!G:G,2)/498)</f>
        <v/>
      </c>
      <c r="G225" s="9">
        <f>IF(D225=0,0,E225*F225)</f>
        <v/>
      </c>
      <c r="H225" s="9">
        <f>IF(G225=0,0,D225/G225)</f>
        <v/>
      </c>
      <c r="I225" s="9">
        <f>IF(H225&lt;=0,0,LOG(H225,2))</f>
        <v/>
      </c>
      <c r="J225" s="9">
        <f>D225*I225</f>
        <v/>
      </c>
    </row>
    <row r="226">
      <c r="A226" s="7" t="n">
        <v>3</v>
      </c>
      <c r="B226" s="7" t="n">
        <v>0</v>
      </c>
      <c r="C226" s="8">
        <f>COUNTIFS(_Data_A!F:F,3,_Data_A!G:G,0)</f>
        <v/>
      </c>
      <c r="D226" s="9">
        <f>IF(C226=0,0,C226/498)</f>
        <v/>
      </c>
      <c r="E226" s="9">
        <f>IF(C226=0,0,COUNTIF(_Data_A!F:F,3)/498)</f>
        <v/>
      </c>
      <c r="F226" s="9">
        <f>IF(C226=0,0,COUNTIF(_Data_A!G:G,0)/498)</f>
        <v/>
      </c>
      <c r="G226" s="9">
        <f>IF(D226=0,0,E226*F226)</f>
        <v/>
      </c>
      <c r="H226" s="9">
        <f>IF(G226=0,0,D226/G226)</f>
        <v/>
      </c>
      <c r="I226" s="9">
        <f>IF(H226&lt;=0,0,LOG(H226,2))</f>
        <v/>
      </c>
      <c r="J226" s="9">
        <f>D226*I226</f>
        <v/>
      </c>
    </row>
    <row r="227">
      <c r="A227" s="7" t="n">
        <v>3</v>
      </c>
      <c r="B227" s="7" t="n">
        <v>2</v>
      </c>
      <c r="C227" s="8">
        <f>COUNTIFS(_Data_A!F:F,3,_Data_A!G:G,2)</f>
        <v/>
      </c>
      <c r="D227" s="9">
        <f>IF(C227=0,0,C227/498)</f>
        <v/>
      </c>
      <c r="E227" s="9">
        <f>IF(C227=0,0,COUNTIF(_Data_A!F:F,3)/498)</f>
        <v/>
      </c>
      <c r="F227" s="9">
        <f>IF(C227=0,0,COUNTIF(_Data_A!G:G,2)/498)</f>
        <v/>
      </c>
      <c r="G227" s="9">
        <f>IF(D227=0,0,E227*F227)</f>
        <v/>
      </c>
      <c r="H227" s="9">
        <f>IF(G227=0,0,D227/G227)</f>
        <v/>
      </c>
      <c r="I227" s="9">
        <f>IF(H227&lt;=0,0,LOG(H227,2))</f>
        <v/>
      </c>
      <c r="J227" s="9">
        <f>D227*I227</f>
        <v/>
      </c>
    </row>
    <row r="228">
      <c r="A228" s="2" t="inlineStr">
        <is>
          <t>IM(x9,x3) =</t>
        </is>
      </c>
      <c r="B228" s="26" t="n"/>
      <c r="C228" s="26" t="n"/>
      <c r="D228" s="26" t="n"/>
      <c r="E228" s="26" t="n"/>
      <c r="F228" s="26" t="n"/>
      <c r="G228" s="26" t="n"/>
      <c r="H228" s="26" t="n"/>
      <c r="I228" s="27" t="n"/>
      <c r="J228" s="11">
        <f>SUM(J220:J227)</f>
        <v/>
      </c>
    </row>
  </sheetData>
  <mergeCells count="42">
    <mergeCell ref="A90:I90"/>
    <mergeCell ref="A126:J126"/>
    <mergeCell ref="A193:I193"/>
    <mergeCell ref="A106:J106"/>
    <mergeCell ref="A4:J4"/>
    <mergeCell ref="A209:J209"/>
    <mergeCell ref="A165:J165"/>
    <mergeCell ref="A21:I21"/>
    <mergeCell ref="A13:J13"/>
    <mergeCell ref="A115:J115"/>
    <mergeCell ref="A93:J93"/>
    <mergeCell ref="A151:I151"/>
    <mergeCell ref="A24:J24"/>
    <mergeCell ref="A184:I184"/>
    <mergeCell ref="A215:I215"/>
    <mergeCell ref="A64:J64"/>
    <mergeCell ref="A206:I206"/>
    <mergeCell ref="A171:I171"/>
    <mergeCell ref="A72:I72"/>
    <mergeCell ref="A52:I52"/>
    <mergeCell ref="A134:I134"/>
    <mergeCell ref="A81:I81"/>
    <mergeCell ref="A112:I112"/>
    <mergeCell ref="A10:I10"/>
    <mergeCell ref="A196:J196"/>
    <mergeCell ref="A174:J174"/>
    <mergeCell ref="A39:I39"/>
    <mergeCell ref="A187:J187"/>
    <mergeCell ref="A218:J218"/>
    <mergeCell ref="A137:J137"/>
    <mergeCell ref="A30:I30"/>
    <mergeCell ref="A75:J75"/>
    <mergeCell ref="A84:J84"/>
    <mergeCell ref="A103:I103"/>
    <mergeCell ref="A123:I123"/>
    <mergeCell ref="A154:J154"/>
    <mergeCell ref="A55:J55"/>
    <mergeCell ref="A61:I61"/>
    <mergeCell ref="A162:I162"/>
    <mergeCell ref="A228:I228"/>
    <mergeCell ref="A42:J42"/>
    <mergeCell ref="A33:J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27" customWidth="1" min="4" max="4"/>
    <col width="28" customWidth="1" min="5" max="5"/>
    <col width="12" customWidth="1" min="6" max="6"/>
  </cols>
  <sheetData>
    <row r="1">
      <c r="A1" s="12" t="inlineStr">
        <is>
          <t>Dataset A — Entropía de Shannon</t>
        </is>
      </c>
    </row>
    <row r="2">
      <c r="A2" s="13" t="inlineStr">
        <is>
          <t>Registros: 498</t>
        </is>
      </c>
    </row>
    <row r="4">
      <c r="A4" s="14" t="inlineStr">
        <is>
          <t>H(x1)</t>
        </is>
      </c>
      <c r="B4" s="26" t="n"/>
      <c r="C4" s="26" t="n"/>
      <c r="D4" s="26" t="n"/>
      <c r="E4" s="26" t="n"/>
      <c r="F4" s="27" t="n"/>
    </row>
    <row r="5">
      <c r="A5" s="6" t="inlineStr">
        <is>
          <t>Valor (x)</t>
        </is>
      </c>
      <c r="B5" s="6" t="inlineStr">
        <is>
          <t>Frecuencia</t>
        </is>
      </c>
      <c r="C5" s="6" t="inlineStr">
        <is>
          <t>p(x)</t>
        </is>
      </c>
      <c r="D5" s="6" t="inlineStr">
        <is>
          <t>-log₂(p(x))</t>
        </is>
      </c>
      <c r="E5" s="6" t="inlineStr">
        <is>
          <t>-p(x)·log₂(p(x))</t>
        </is>
      </c>
    </row>
    <row r="6">
      <c r="A6" s="7" t="n">
        <v>0</v>
      </c>
      <c r="B6" s="8">
        <f>COUNTIF(_Data_A!A:A,0)</f>
        <v/>
      </c>
      <c r="C6" s="9">
        <f>B6/498</f>
        <v/>
      </c>
      <c r="D6" s="9">
        <f>IF(C6=0,0,-LOG(C6,2))</f>
        <v/>
      </c>
      <c r="E6" s="9">
        <f>IF(C6=0,0,-C6*LOG(C6,2))</f>
        <v/>
      </c>
    </row>
    <row r="7">
      <c r="A7" s="7" t="n">
        <v>1</v>
      </c>
      <c r="B7" s="8">
        <f>COUNTIF(_Data_A!A:A,1)</f>
        <v/>
      </c>
      <c r="C7" s="9">
        <f>B7/498</f>
        <v/>
      </c>
      <c r="D7" s="9">
        <f>IF(C7=0,0,-LOG(C7,2))</f>
        <v/>
      </c>
      <c r="E7" s="9">
        <f>IF(C7=0,0,-C7*LOG(C7,2))</f>
        <v/>
      </c>
    </row>
    <row r="8">
      <c r="A8" s="2" t="inlineStr">
        <is>
          <t>Total</t>
        </is>
      </c>
      <c r="B8" s="3">
        <f>SUM(B6:B7)</f>
        <v/>
      </c>
      <c r="C8" s="16" t="n">
        <v>1</v>
      </c>
      <c r="D8" s="2" t="inlineStr">
        <is>
          <t>H(x1) =</t>
        </is>
      </c>
      <c r="E8" s="11">
        <f>SUM(E6:E7)</f>
        <v/>
      </c>
    </row>
    <row r="11">
      <c r="A11" s="14" t="inlineStr">
        <is>
          <t>H(x2)</t>
        </is>
      </c>
      <c r="B11" s="26" t="n"/>
      <c r="C11" s="26" t="n"/>
      <c r="D11" s="26" t="n"/>
      <c r="E11" s="26" t="n"/>
      <c r="F11" s="27" t="n"/>
    </row>
    <row r="12">
      <c r="A12" s="6" t="inlineStr">
        <is>
          <t>Valor (x)</t>
        </is>
      </c>
      <c r="B12" s="6" t="inlineStr">
        <is>
          <t>Frecuencia</t>
        </is>
      </c>
      <c r="C12" s="6" t="inlineStr">
        <is>
          <t>p(x)</t>
        </is>
      </c>
      <c r="D12" s="6" t="inlineStr">
        <is>
          <t>-log₂(p(x))</t>
        </is>
      </c>
      <c r="E12" s="6" t="inlineStr">
        <is>
          <t>-p(x)·log₂(p(x))</t>
        </is>
      </c>
    </row>
    <row r="13">
      <c r="A13" s="7" t="n">
        <v>0</v>
      </c>
      <c r="B13" s="8">
        <f>COUNTIF(_Data_A!B:B,0)</f>
        <v/>
      </c>
      <c r="C13" s="9">
        <f>B13/498</f>
        <v/>
      </c>
      <c r="D13" s="9">
        <f>IF(C13=0,0,-LOG(C13,2))</f>
        <v/>
      </c>
      <c r="E13" s="9">
        <f>IF(C13=0,0,-C13*LOG(C13,2))</f>
        <v/>
      </c>
    </row>
    <row r="14">
      <c r="A14" s="7" t="n">
        <v>1</v>
      </c>
      <c r="B14" s="8">
        <f>COUNTIF(_Data_A!B:B,1)</f>
        <v/>
      </c>
      <c r="C14" s="9">
        <f>B14/498</f>
        <v/>
      </c>
      <c r="D14" s="9">
        <f>IF(C14=0,0,-LOG(C14,2))</f>
        <v/>
      </c>
      <c r="E14" s="9">
        <f>IF(C14=0,0,-C14*LOG(C14,2))</f>
        <v/>
      </c>
    </row>
    <row r="15">
      <c r="A15" s="2" t="inlineStr">
        <is>
          <t>Total</t>
        </is>
      </c>
      <c r="B15" s="3">
        <f>SUM(B13:B14)</f>
        <v/>
      </c>
      <c r="C15" s="16" t="n">
        <v>1</v>
      </c>
      <c r="D15" s="2" t="inlineStr">
        <is>
          <t>H(x2) =</t>
        </is>
      </c>
      <c r="E15" s="11">
        <f>SUM(E13:E14)</f>
        <v/>
      </c>
    </row>
    <row r="18">
      <c r="A18" s="14" t="inlineStr">
        <is>
          <t>H(x5)</t>
        </is>
      </c>
      <c r="B18" s="26" t="n"/>
      <c r="C18" s="26" t="n"/>
      <c r="D18" s="26" t="n"/>
      <c r="E18" s="26" t="n"/>
      <c r="F18" s="27" t="n"/>
    </row>
    <row r="19">
      <c r="A19" s="6" t="inlineStr">
        <is>
          <t>Valor (x)</t>
        </is>
      </c>
      <c r="B19" s="6" t="inlineStr">
        <is>
          <t>Frecuencia</t>
        </is>
      </c>
      <c r="C19" s="6" t="inlineStr">
        <is>
          <t>p(x)</t>
        </is>
      </c>
      <c r="D19" s="6" t="inlineStr">
        <is>
          <t>-log₂(p(x))</t>
        </is>
      </c>
      <c r="E19" s="6" t="inlineStr">
        <is>
          <t>-p(x)·log₂(p(x))</t>
        </is>
      </c>
    </row>
    <row r="20">
      <c r="A20" s="7" t="n">
        <v>0</v>
      </c>
      <c r="B20" s="8">
        <f>COUNTIF(_Data_A!C:C,0)</f>
        <v/>
      </c>
      <c r="C20" s="9">
        <f>B20/498</f>
        <v/>
      </c>
      <c r="D20" s="9">
        <f>IF(C20=0,0,-LOG(C20,2))</f>
        <v/>
      </c>
      <c r="E20" s="9">
        <f>IF(C20=0,0,-C20*LOG(C20,2))</f>
        <v/>
      </c>
    </row>
    <row r="21">
      <c r="A21" s="7" t="n">
        <v>1</v>
      </c>
      <c r="B21" s="8">
        <f>COUNTIF(_Data_A!C:C,1)</f>
        <v/>
      </c>
      <c r="C21" s="9">
        <f>B21/498</f>
        <v/>
      </c>
      <c r="D21" s="9">
        <f>IF(C21=0,0,-LOG(C21,2))</f>
        <v/>
      </c>
      <c r="E21" s="9">
        <f>IF(C21=0,0,-C21*LOG(C21,2))</f>
        <v/>
      </c>
    </row>
    <row r="22">
      <c r="A22" s="7" t="n">
        <v>2</v>
      </c>
      <c r="B22" s="8">
        <f>COUNTIF(_Data_A!C:C,2)</f>
        <v/>
      </c>
      <c r="C22" s="9">
        <f>B22/498</f>
        <v/>
      </c>
      <c r="D22" s="9">
        <f>IF(C22=0,0,-LOG(C22,2))</f>
        <v/>
      </c>
      <c r="E22" s="9">
        <f>IF(C22=0,0,-C22*LOG(C22,2))</f>
        <v/>
      </c>
    </row>
    <row r="23">
      <c r="A23" s="2" t="inlineStr">
        <is>
          <t>Total</t>
        </is>
      </c>
      <c r="B23" s="3">
        <f>SUM(B20:B22)</f>
        <v/>
      </c>
      <c r="C23" s="16" t="n">
        <v>1</v>
      </c>
      <c r="D23" s="2" t="inlineStr">
        <is>
          <t>H(x5) =</t>
        </is>
      </c>
      <c r="E23" s="11">
        <f>SUM(E20:E22)</f>
        <v/>
      </c>
    </row>
    <row r="26">
      <c r="A26" s="14" t="inlineStr">
        <is>
          <t>H(x4)</t>
        </is>
      </c>
      <c r="B26" s="26" t="n"/>
      <c r="C26" s="26" t="n"/>
      <c r="D26" s="26" t="n"/>
      <c r="E26" s="26" t="n"/>
      <c r="F26" s="27" t="n"/>
    </row>
    <row r="27">
      <c r="A27" s="6" t="inlineStr">
        <is>
          <t>Valor (x)</t>
        </is>
      </c>
      <c r="B27" s="6" t="inlineStr">
        <is>
          <t>Frecuencia</t>
        </is>
      </c>
      <c r="C27" s="6" t="inlineStr">
        <is>
          <t>p(x)</t>
        </is>
      </c>
      <c r="D27" s="6" t="inlineStr">
        <is>
          <t>-log₂(p(x))</t>
        </is>
      </c>
      <c r="E27" s="6" t="inlineStr">
        <is>
          <t>-p(x)·log₂(p(x))</t>
        </is>
      </c>
    </row>
    <row r="28">
      <c r="A28" s="7" t="n">
        <v>0</v>
      </c>
      <c r="B28" s="8">
        <f>COUNTIF(_Data_A!D:D,0)</f>
        <v/>
      </c>
      <c r="C28" s="9">
        <f>B28/498</f>
        <v/>
      </c>
      <c r="D28" s="9">
        <f>IF(C28=0,0,-LOG(C28,2))</f>
        <v/>
      </c>
      <c r="E28" s="9">
        <f>IF(C28=0,0,-C28*LOG(C28,2))</f>
        <v/>
      </c>
    </row>
    <row r="29">
      <c r="A29" s="7" t="n">
        <v>1</v>
      </c>
      <c r="B29" s="8">
        <f>COUNTIF(_Data_A!D:D,1)</f>
        <v/>
      </c>
      <c r="C29" s="9">
        <f>B29/498</f>
        <v/>
      </c>
      <c r="D29" s="9">
        <f>IF(C29=0,0,-LOG(C29,2))</f>
        <v/>
      </c>
      <c r="E29" s="9">
        <f>IF(C29=0,0,-C29*LOG(C29,2))</f>
        <v/>
      </c>
    </row>
    <row r="30">
      <c r="A30" s="2" t="inlineStr">
        <is>
          <t>Total</t>
        </is>
      </c>
      <c r="B30" s="3">
        <f>SUM(B28:B29)</f>
        <v/>
      </c>
      <c r="C30" s="16" t="n">
        <v>1</v>
      </c>
      <c r="D30" s="2" t="inlineStr">
        <is>
          <t>H(x4) =</t>
        </is>
      </c>
      <c r="E30" s="11">
        <f>SUM(E28:E29)</f>
        <v/>
      </c>
    </row>
    <row r="33">
      <c r="A33" s="14" t="inlineStr">
        <is>
          <t>H(x6)</t>
        </is>
      </c>
      <c r="B33" s="26" t="n"/>
      <c r="C33" s="26" t="n"/>
      <c r="D33" s="26" t="n"/>
      <c r="E33" s="26" t="n"/>
      <c r="F33" s="27" t="n"/>
    </row>
    <row r="34">
      <c r="A34" s="6" t="inlineStr">
        <is>
          <t>Valor (x)</t>
        </is>
      </c>
      <c r="B34" s="6" t="inlineStr">
        <is>
          <t>Frecuencia</t>
        </is>
      </c>
      <c r="C34" s="6" t="inlineStr">
        <is>
          <t>p(x)</t>
        </is>
      </c>
      <c r="D34" s="6" t="inlineStr">
        <is>
          <t>-log₂(p(x))</t>
        </is>
      </c>
      <c r="E34" s="6" t="inlineStr">
        <is>
          <t>-p(x)·log₂(p(x))</t>
        </is>
      </c>
    </row>
    <row r="35">
      <c r="A35" s="7" t="n">
        <v>0</v>
      </c>
      <c r="B35" s="8">
        <f>COUNTIF(_Data_A!E:E,0)</f>
        <v/>
      </c>
      <c r="C35" s="9">
        <f>B35/498</f>
        <v/>
      </c>
      <c r="D35" s="9">
        <f>IF(C35=0,0,-LOG(C35,2))</f>
        <v/>
      </c>
      <c r="E35" s="9">
        <f>IF(C35=0,0,-C35*LOG(C35,2))</f>
        <v/>
      </c>
    </row>
    <row r="36">
      <c r="A36" s="7" t="n">
        <v>1</v>
      </c>
      <c r="B36" s="8">
        <f>COUNTIF(_Data_A!E:E,1)</f>
        <v/>
      </c>
      <c r="C36" s="9">
        <f>B36/498</f>
        <v/>
      </c>
      <c r="D36" s="9">
        <f>IF(C36=0,0,-LOG(C36,2))</f>
        <v/>
      </c>
      <c r="E36" s="9">
        <f>IF(C36=0,0,-C36*LOG(C36,2))</f>
        <v/>
      </c>
    </row>
    <row r="37">
      <c r="A37" s="2" t="inlineStr">
        <is>
          <t>Total</t>
        </is>
      </c>
      <c r="B37" s="3">
        <f>SUM(B35:B36)</f>
        <v/>
      </c>
      <c r="C37" s="16" t="n">
        <v>1</v>
      </c>
      <c r="D37" s="2" t="inlineStr">
        <is>
          <t>H(x6) =</t>
        </is>
      </c>
      <c r="E37" s="11">
        <f>SUM(E35:E36)</f>
        <v/>
      </c>
    </row>
    <row r="40">
      <c r="A40" s="14" t="inlineStr">
        <is>
          <t>H(x9)</t>
        </is>
      </c>
      <c r="B40" s="26" t="n"/>
      <c r="C40" s="26" t="n"/>
      <c r="D40" s="26" t="n"/>
      <c r="E40" s="26" t="n"/>
      <c r="F40" s="27" t="n"/>
    </row>
    <row r="41">
      <c r="A41" s="6" t="inlineStr">
        <is>
          <t>Valor (x)</t>
        </is>
      </c>
      <c r="B41" s="6" t="inlineStr">
        <is>
          <t>Frecuencia</t>
        </is>
      </c>
      <c r="C41" s="6" t="inlineStr">
        <is>
          <t>p(x)</t>
        </is>
      </c>
      <c r="D41" s="6" t="inlineStr">
        <is>
          <t>-log₂(p(x))</t>
        </is>
      </c>
      <c r="E41" s="6" t="inlineStr">
        <is>
          <t>-p(x)·log₂(p(x))</t>
        </is>
      </c>
    </row>
    <row r="42">
      <c r="A42" s="7" t="n">
        <v>0</v>
      </c>
      <c r="B42" s="8">
        <f>COUNTIF(_Data_A!F:F,0)</f>
        <v/>
      </c>
      <c r="C42" s="9">
        <f>B42/498</f>
        <v/>
      </c>
      <c r="D42" s="9">
        <f>IF(C42=0,0,-LOG(C42,2))</f>
        <v/>
      </c>
      <c r="E42" s="9">
        <f>IF(C42=0,0,-C42*LOG(C42,2))</f>
        <v/>
      </c>
    </row>
    <row r="43">
      <c r="A43" s="7" t="n">
        <v>1</v>
      </c>
      <c r="B43" s="8">
        <f>COUNTIF(_Data_A!F:F,1)</f>
        <v/>
      </c>
      <c r="C43" s="9">
        <f>B43/498</f>
        <v/>
      </c>
      <c r="D43" s="9">
        <f>IF(C43=0,0,-LOG(C43,2))</f>
        <v/>
      </c>
      <c r="E43" s="9">
        <f>IF(C43=0,0,-C43*LOG(C43,2))</f>
        <v/>
      </c>
    </row>
    <row r="44">
      <c r="A44" s="7" t="n">
        <v>2</v>
      </c>
      <c r="B44" s="8">
        <f>COUNTIF(_Data_A!F:F,2)</f>
        <v/>
      </c>
      <c r="C44" s="9">
        <f>B44/498</f>
        <v/>
      </c>
      <c r="D44" s="9">
        <f>IF(C44=0,0,-LOG(C44,2))</f>
        <v/>
      </c>
      <c r="E44" s="9">
        <f>IF(C44=0,0,-C44*LOG(C44,2))</f>
        <v/>
      </c>
    </row>
    <row r="45">
      <c r="A45" s="7" t="n">
        <v>3</v>
      </c>
      <c r="B45" s="8">
        <f>COUNTIF(_Data_A!F:F,3)</f>
        <v/>
      </c>
      <c r="C45" s="9">
        <f>B45/498</f>
        <v/>
      </c>
      <c r="D45" s="9">
        <f>IF(C45=0,0,-LOG(C45,2))</f>
        <v/>
      </c>
      <c r="E45" s="9">
        <f>IF(C45=0,0,-C45*LOG(C45,2))</f>
        <v/>
      </c>
    </row>
    <row r="46">
      <c r="A46" s="2" t="inlineStr">
        <is>
          <t>Total</t>
        </is>
      </c>
      <c r="B46" s="3">
        <f>SUM(B42:B45)</f>
        <v/>
      </c>
      <c r="C46" s="16" t="n">
        <v>1</v>
      </c>
      <c r="D46" s="2" t="inlineStr">
        <is>
          <t>H(x9) =</t>
        </is>
      </c>
      <c r="E46" s="11">
        <f>SUM(E42:E45)</f>
        <v/>
      </c>
    </row>
    <row r="49">
      <c r="A49" s="14" t="inlineStr">
        <is>
          <t>H(x3)</t>
        </is>
      </c>
      <c r="B49" s="26" t="n"/>
      <c r="C49" s="26" t="n"/>
      <c r="D49" s="26" t="n"/>
      <c r="E49" s="26" t="n"/>
      <c r="F49" s="27" t="n"/>
    </row>
    <row r="50">
      <c r="A50" s="6" t="inlineStr">
        <is>
          <t>Valor (x)</t>
        </is>
      </c>
      <c r="B50" s="6" t="inlineStr">
        <is>
          <t>Frecuencia</t>
        </is>
      </c>
      <c r="C50" s="6" t="inlineStr">
        <is>
          <t>p(x)</t>
        </is>
      </c>
      <c r="D50" s="6" t="inlineStr">
        <is>
          <t>-log₂(p(x))</t>
        </is>
      </c>
      <c r="E50" s="6" t="inlineStr">
        <is>
          <t>-p(x)·log₂(p(x))</t>
        </is>
      </c>
    </row>
    <row r="51">
      <c r="A51" s="7" t="n">
        <v>0</v>
      </c>
      <c r="B51" s="8">
        <f>COUNTIF(_Data_A!G:G,0)</f>
        <v/>
      </c>
      <c r="C51" s="9">
        <f>B51/498</f>
        <v/>
      </c>
      <c r="D51" s="9">
        <f>IF(C51=0,0,-LOG(C51,2))</f>
        <v/>
      </c>
      <c r="E51" s="9">
        <f>IF(C51=0,0,-C51*LOG(C51,2))</f>
        <v/>
      </c>
    </row>
    <row r="52">
      <c r="A52" s="7" t="n">
        <v>2</v>
      </c>
      <c r="B52" s="8">
        <f>COUNTIF(_Data_A!G:G,2)</f>
        <v/>
      </c>
      <c r="C52" s="9">
        <f>B52/498</f>
        <v/>
      </c>
      <c r="D52" s="9">
        <f>IF(C52=0,0,-LOG(C52,2))</f>
        <v/>
      </c>
      <c r="E52" s="9">
        <f>IF(C52=0,0,-C52*LOG(C52,2))</f>
        <v/>
      </c>
    </row>
    <row r="53">
      <c r="A53" s="2" t="inlineStr">
        <is>
          <t>Total</t>
        </is>
      </c>
      <c r="B53" s="3">
        <f>SUM(B51:B52)</f>
        <v/>
      </c>
      <c r="C53" s="16" t="n">
        <v>1</v>
      </c>
      <c r="D53" s="2" t="inlineStr">
        <is>
          <t>H(x3) =</t>
        </is>
      </c>
      <c r="E53" s="11">
        <f>SUM(E51:E52)</f>
        <v/>
      </c>
    </row>
  </sheetData>
  <mergeCells count="9">
    <mergeCell ref="A2:F2"/>
    <mergeCell ref="A11:F11"/>
    <mergeCell ref="A33:F33"/>
    <mergeCell ref="A49:F49"/>
    <mergeCell ref="A1:F1"/>
    <mergeCell ref="A40:F40"/>
    <mergeCell ref="A18:F18"/>
    <mergeCell ref="A4:F4"/>
    <mergeCell ref="A26:F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Dataset A — Matriz de Información Mutua</t>
        </is>
      </c>
    </row>
    <row r="3">
      <c r="A3" s="6" t="inlineStr">
        <is>
          <t>IM(X,Y)</t>
        </is>
      </c>
      <c r="B3" s="6" t="inlineStr">
        <is>
          <t>x1</t>
        </is>
      </c>
      <c r="C3" s="6" t="inlineStr">
        <is>
          <t>x2</t>
        </is>
      </c>
      <c r="D3" s="6" t="inlineStr">
        <is>
          <t>x5</t>
        </is>
      </c>
      <c r="E3" s="6" t="inlineStr">
        <is>
          <t>x4</t>
        </is>
      </c>
      <c r="F3" s="6" t="inlineStr">
        <is>
          <t>x6</t>
        </is>
      </c>
      <c r="G3" s="6" t="inlineStr">
        <is>
          <t>x9</t>
        </is>
      </c>
      <c r="H3" s="6" t="inlineStr">
        <is>
          <t>x3</t>
        </is>
      </c>
    </row>
    <row r="4">
      <c r="A4" s="2" t="inlineStr">
        <is>
          <t>x1</t>
        </is>
      </c>
      <c r="B4" s="17" t="n">
        <v>0</v>
      </c>
      <c r="C4" s="9">
        <f>_Calc_A!J10</f>
        <v/>
      </c>
      <c r="D4" s="11">
        <f>_Calc_A!J21</f>
        <v/>
      </c>
      <c r="E4" s="9">
        <f>_Calc_A!J30</f>
        <v/>
      </c>
      <c r="F4" s="9">
        <f>_Calc_A!J39</f>
        <v/>
      </c>
      <c r="G4" s="9">
        <f>_Calc_A!J52</f>
        <v/>
      </c>
      <c r="H4" s="9">
        <f>_Calc_A!J61</f>
        <v/>
      </c>
    </row>
    <row r="5">
      <c r="A5" s="2" t="inlineStr">
        <is>
          <t>x2</t>
        </is>
      </c>
      <c r="B5" s="9">
        <f>_Calc_A!J10</f>
        <v/>
      </c>
      <c r="C5" s="17" t="n">
        <v>0</v>
      </c>
      <c r="D5" s="11">
        <f>_Calc_A!J72</f>
        <v/>
      </c>
      <c r="E5" s="9">
        <f>_Calc_A!J81</f>
        <v/>
      </c>
      <c r="F5" s="9">
        <f>_Calc_A!J90</f>
        <v/>
      </c>
      <c r="G5" s="9">
        <f>_Calc_A!J103</f>
        <v/>
      </c>
      <c r="H5" s="9">
        <f>_Calc_A!J112</f>
        <v/>
      </c>
    </row>
    <row r="6">
      <c r="A6" s="2" t="inlineStr">
        <is>
          <t>x5</t>
        </is>
      </c>
      <c r="B6" s="11">
        <f>_Calc_A!J21</f>
        <v/>
      </c>
      <c r="C6" s="11">
        <f>_Calc_A!J72</f>
        <v/>
      </c>
      <c r="D6" s="17" t="n">
        <v>0</v>
      </c>
      <c r="E6" s="9">
        <f>_Calc_A!J123</f>
        <v/>
      </c>
      <c r="F6" s="9">
        <f>_Calc_A!J134</f>
        <v/>
      </c>
      <c r="G6" s="9">
        <f>_Calc_A!J151</f>
        <v/>
      </c>
      <c r="H6" s="9">
        <f>_Calc_A!J162</f>
        <v/>
      </c>
    </row>
    <row r="7">
      <c r="A7" s="2" t="inlineStr">
        <is>
          <t>x4</t>
        </is>
      </c>
      <c r="B7" s="9">
        <f>_Calc_A!J30</f>
        <v/>
      </c>
      <c r="C7" s="9">
        <f>_Calc_A!J81</f>
        <v/>
      </c>
      <c r="D7" s="9">
        <f>_Calc_A!J123</f>
        <v/>
      </c>
      <c r="E7" s="17" t="n">
        <v>0</v>
      </c>
      <c r="F7" s="9">
        <f>_Calc_A!J171</f>
        <v/>
      </c>
      <c r="G7" s="11">
        <f>_Calc_A!J184</f>
        <v/>
      </c>
      <c r="H7" s="9">
        <f>_Calc_A!J193</f>
        <v/>
      </c>
    </row>
    <row r="8">
      <c r="A8" s="2" t="inlineStr">
        <is>
          <t>x6</t>
        </is>
      </c>
      <c r="B8" s="9">
        <f>_Calc_A!J39</f>
        <v/>
      </c>
      <c r="C8" s="9">
        <f>_Calc_A!J90</f>
        <v/>
      </c>
      <c r="D8" s="9">
        <f>_Calc_A!J134</f>
        <v/>
      </c>
      <c r="E8" s="9">
        <f>_Calc_A!J171</f>
        <v/>
      </c>
      <c r="F8" s="17" t="n">
        <v>0</v>
      </c>
      <c r="G8" s="11">
        <f>_Calc_A!J206</f>
        <v/>
      </c>
      <c r="H8" s="9">
        <f>_Calc_A!J215</f>
        <v/>
      </c>
    </row>
    <row r="9">
      <c r="A9" s="2" t="inlineStr">
        <is>
          <t>x9</t>
        </is>
      </c>
      <c r="B9" s="9">
        <f>_Calc_A!J52</f>
        <v/>
      </c>
      <c r="C9" s="9">
        <f>_Calc_A!J103</f>
        <v/>
      </c>
      <c r="D9" s="9">
        <f>_Calc_A!J151</f>
        <v/>
      </c>
      <c r="E9" s="11">
        <f>_Calc_A!J184</f>
        <v/>
      </c>
      <c r="F9" s="11">
        <f>_Calc_A!J206</f>
        <v/>
      </c>
      <c r="G9" s="17" t="n">
        <v>0</v>
      </c>
      <c r="H9" s="9">
        <f>_Calc_A!J228</f>
        <v/>
      </c>
    </row>
    <row r="10">
      <c r="A10" s="2" t="inlineStr">
        <is>
          <t>x3</t>
        </is>
      </c>
      <c r="B10" s="9">
        <f>_Calc_A!J61</f>
        <v/>
      </c>
      <c r="C10" s="9">
        <f>_Calc_A!J112</f>
        <v/>
      </c>
      <c r="D10" s="9">
        <f>_Calc_A!J162</f>
        <v/>
      </c>
      <c r="E10" s="9">
        <f>_Calc_A!J193</f>
        <v/>
      </c>
      <c r="F10" s="9">
        <f>_Calc_A!J215</f>
        <v/>
      </c>
      <c r="G10" s="9">
        <f>_Calc_A!J228</f>
        <v/>
      </c>
      <c r="H10" s="17" t="n">
        <v>0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9" max="9"/>
  </cols>
  <sheetData>
    <row r="1">
      <c r="A1" s="12" t="inlineStr">
        <is>
          <t>Dataset A — Cálculo Detallado IM(x1,x5)</t>
        </is>
      </c>
    </row>
    <row r="3">
      <c r="A3" s="13" t="inlineStr">
        <is>
          <t>Tabla de Probabilidades Conjuntas</t>
        </is>
      </c>
    </row>
    <row r="5">
      <c r="A5" s="6" t="inlineStr">
        <is>
          <t>x1</t>
        </is>
      </c>
      <c r="B5" s="6" t="inlineStr">
        <is>
          <t>x5</t>
        </is>
      </c>
      <c r="C5" s="6" t="inlineStr">
        <is>
          <t>Frecuencia</t>
        </is>
      </c>
      <c r="D5" s="6" t="inlineStr">
        <is>
          <t>p(x1,x5)</t>
        </is>
      </c>
      <c r="E5" s="6" t="inlineStr">
        <is>
          <t>p(x1)</t>
        </is>
      </c>
      <c r="F5" s="6" t="inlineStr">
        <is>
          <t>p(x5)</t>
        </is>
      </c>
      <c r="G5" s="6" t="inlineStr">
        <is>
          <t>p/(px·py)</t>
        </is>
      </c>
      <c r="H5" s="6" t="inlineStr">
        <is>
          <t>log₂(ratio)</t>
        </is>
      </c>
      <c r="I5" s="6" t="inlineStr">
        <is>
          <t>p·log₂(ratio)</t>
        </is>
      </c>
    </row>
    <row r="6">
      <c r="A6" s="7" t="n">
        <v>0</v>
      </c>
      <c r="B6" s="7" t="n">
        <v>0</v>
      </c>
      <c r="C6" s="8">
        <f>COUNTIFS(_Data_A!A:A,0,_Data_A!C:C,0)</f>
        <v/>
      </c>
      <c r="D6" s="9">
        <f>C6/498</f>
        <v/>
      </c>
      <c r="E6" s="9">
        <f>IF(D6=0,0,COUNTIF(_Data_A!A:A,0)/498)</f>
        <v/>
      </c>
      <c r="F6" s="9">
        <f>IF(D6=0,0,COUNTIF(_Data_A!C:C,0)/498)</f>
        <v/>
      </c>
      <c r="G6" s="9">
        <f>IF(D6=0,0,D6/(E6*F6))</f>
        <v/>
      </c>
      <c r="H6" s="9">
        <f>IF(G6&lt;=0,0,LOG(G6,2))</f>
        <v/>
      </c>
      <c r="I6" s="9">
        <f>D6*H6</f>
        <v/>
      </c>
    </row>
    <row r="7">
      <c r="A7" s="7" t="n">
        <v>0</v>
      </c>
      <c r="B7" s="7" t="n">
        <v>1</v>
      </c>
      <c r="C7" s="8">
        <f>COUNTIFS(_Data_A!A:A,0,_Data_A!C:C,1)</f>
        <v/>
      </c>
      <c r="D7" s="9">
        <f>C7/498</f>
        <v/>
      </c>
      <c r="E7" s="9">
        <f>IF(D7=0,0,COUNTIF(_Data_A!A:A,0)/498)</f>
        <v/>
      </c>
      <c r="F7" s="9">
        <f>IF(D7=0,0,COUNTIF(_Data_A!C:C,1)/498)</f>
        <v/>
      </c>
      <c r="G7" s="9">
        <f>IF(D7=0,0,D7/(E7*F7))</f>
        <v/>
      </c>
      <c r="H7" s="9">
        <f>IF(G7&lt;=0,0,LOG(G7,2))</f>
        <v/>
      </c>
      <c r="I7" s="9">
        <f>D7*H7</f>
        <v/>
      </c>
    </row>
    <row r="8">
      <c r="A8" s="7" t="n">
        <v>0</v>
      </c>
      <c r="B8" s="7" t="n">
        <v>2</v>
      </c>
      <c r="C8" s="8">
        <f>COUNTIFS(_Data_A!A:A,0,_Data_A!C:C,2)</f>
        <v/>
      </c>
      <c r="D8" s="9">
        <f>C8/498</f>
        <v/>
      </c>
      <c r="E8" s="9">
        <f>IF(D8=0,0,COUNTIF(_Data_A!A:A,0)/498)</f>
        <v/>
      </c>
      <c r="F8" s="9">
        <f>IF(D8=0,0,COUNTIF(_Data_A!C:C,2)/498)</f>
        <v/>
      </c>
      <c r="G8" s="9">
        <f>IF(D8=0,0,D8/(E8*F8))</f>
        <v/>
      </c>
      <c r="H8" s="9">
        <f>IF(G8&lt;=0,0,LOG(G8,2))</f>
        <v/>
      </c>
      <c r="I8" s="9">
        <f>D8*H8</f>
        <v/>
      </c>
    </row>
    <row r="9">
      <c r="A9" s="7" t="n">
        <v>1</v>
      </c>
      <c r="B9" s="7" t="n">
        <v>0</v>
      </c>
      <c r="C9" s="8">
        <f>COUNTIFS(_Data_A!A:A,1,_Data_A!C:C,0)</f>
        <v/>
      </c>
      <c r="D9" s="9">
        <f>C9/498</f>
        <v/>
      </c>
      <c r="E9" s="9">
        <f>IF(D9=0,0,COUNTIF(_Data_A!A:A,1)/498)</f>
        <v/>
      </c>
      <c r="F9" s="9">
        <f>IF(D9=0,0,COUNTIF(_Data_A!C:C,0)/498)</f>
        <v/>
      </c>
      <c r="G9" s="9">
        <f>IF(D9=0,0,D9/(E9*F9))</f>
        <v/>
      </c>
      <c r="H9" s="9">
        <f>IF(G9&lt;=0,0,LOG(G9,2))</f>
        <v/>
      </c>
      <c r="I9" s="9">
        <f>D9*H9</f>
        <v/>
      </c>
    </row>
    <row r="10">
      <c r="A10" s="7" t="n">
        <v>1</v>
      </c>
      <c r="B10" s="7" t="n">
        <v>1</v>
      </c>
      <c r="C10" s="8">
        <f>COUNTIFS(_Data_A!A:A,1,_Data_A!C:C,1)</f>
        <v/>
      </c>
      <c r="D10" s="9">
        <f>C10/498</f>
        <v/>
      </c>
      <c r="E10" s="9">
        <f>IF(D10=0,0,COUNTIF(_Data_A!A:A,1)/498)</f>
        <v/>
      </c>
      <c r="F10" s="9">
        <f>IF(D10=0,0,COUNTIF(_Data_A!C:C,1)/498)</f>
        <v/>
      </c>
      <c r="G10" s="9">
        <f>IF(D10=0,0,D10/(E10*F10))</f>
        <v/>
      </c>
      <c r="H10" s="9">
        <f>IF(G10&lt;=0,0,LOG(G10,2))</f>
        <v/>
      </c>
      <c r="I10" s="9">
        <f>D10*H10</f>
        <v/>
      </c>
    </row>
    <row r="11">
      <c r="A11" s="7" t="n">
        <v>1</v>
      </c>
      <c r="B11" s="7" t="n">
        <v>2</v>
      </c>
      <c r="C11" s="8">
        <f>COUNTIFS(_Data_A!A:A,1,_Data_A!C:C,2)</f>
        <v/>
      </c>
      <c r="D11" s="9">
        <f>C11/498</f>
        <v/>
      </c>
      <c r="E11" s="9">
        <f>IF(D11=0,0,COUNTIF(_Data_A!A:A,1)/498)</f>
        <v/>
      </c>
      <c r="F11" s="9">
        <f>IF(D11=0,0,COUNTIF(_Data_A!C:C,2)/498)</f>
        <v/>
      </c>
      <c r="G11" s="9">
        <f>IF(D11=0,0,D11/(E11*F11))</f>
        <v/>
      </c>
      <c r="H11" s="9">
        <f>IF(G11&lt;=0,0,LOG(G11,2))</f>
        <v/>
      </c>
      <c r="I11" s="9">
        <f>D11*H11</f>
        <v/>
      </c>
    </row>
    <row r="12">
      <c r="E12" s="2" t="inlineStr">
        <is>
          <t>IM(x1,x5) = Σ</t>
        </is>
      </c>
      <c r="F12" s="26" t="n"/>
      <c r="G12" s="26" t="n"/>
      <c r="H12" s="27" t="n"/>
      <c r="I12" s="11">
        <f>SUM(I6:I11)</f>
        <v/>
      </c>
    </row>
  </sheetData>
  <mergeCells count="3">
    <mergeCell ref="A1:I1"/>
    <mergeCell ref="E12:H12"/>
    <mergeCell ref="A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1" customWidth="1" min="3" max="3"/>
    <col width="36" customWidth="1" min="4" max="4"/>
    <col width="36" customWidth="1" min="5" max="5"/>
    <col hidden="1" width="36" customWidth="1" min="6" max="6"/>
    <col hidden="1" width="36" customWidth="1" min="7" max="7"/>
    <col hidden="1" width="36" customWidth="1" min="8" max="8"/>
    <col hidden="1" width="36" customWidth="1" min="9" max="9"/>
    <col hidden="1" width="36" customWidth="1" min="10" max="10"/>
    <col hidden="1" width="36" customWidth="1" min="11" max="11"/>
    <col hidden="1" width="36" customWidth="1" min="12" max="12"/>
    <col hidden="1" width="10" customWidth="1" min="13" max="13"/>
    <col hidden="1" width="10" customWidth="1" min="14" max="14"/>
    <col hidden="1" width="34" customWidth="1" min="15" max="15"/>
  </cols>
  <sheetData>
    <row r="1">
      <c r="A1" s="12" t="inlineStr">
        <is>
          <t>Dataset A — Algoritmo de Kruskal (MST)</t>
        </is>
      </c>
    </row>
    <row r="2">
      <c r="F2" s="2" t="inlineStr">
        <is>
          <t>comp(x1)</t>
        </is>
      </c>
      <c r="G2" s="2" t="inlineStr">
        <is>
          <t>comp(x2)</t>
        </is>
      </c>
      <c r="H2" s="2" t="inlineStr">
        <is>
          <t>comp(x5)</t>
        </is>
      </c>
      <c r="I2" s="2" t="inlineStr">
        <is>
          <t>comp(x4)</t>
        </is>
      </c>
      <c r="J2" s="2" t="inlineStr">
        <is>
          <t>comp(x6)</t>
        </is>
      </c>
      <c r="K2" s="2" t="inlineStr">
        <is>
          <t>comp(x9)</t>
        </is>
      </c>
      <c r="L2" s="2" t="inlineStr">
        <is>
          <t>comp(x3)</t>
        </is>
      </c>
    </row>
    <row r="3">
      <c r="A3" s="6" t="inlineStr">
        <is>
          <t>#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Decisión</t>
        </is>
      </c>
      <c r="E3" s="6" t="inlineStr">
        <is>
          <t>Justificación</t>
        </is>
      </c>
      <c r="F3" s="2" t="inlineStr">
        <is>
          <t>x1</t>
        </is>
      </c>
      <c r="G3" s="2" t="inlineStr">
        <is>
          <t>x2</t>
        </is>
      </c>
      <c r="H3" s="2" t="inlineStr">
        <is>
          <t>x5</t>
        </is>
      </c>
      <c r="I3" s="2" t="inlineStr">
        <is>
          <t>x4</t>
        </is>
      </c>
      <c r="J3" s="2" t="inlineStr">
        <is>
          <t>x6</t>
        </is>
      </c>
      <c r="K3" s="2" t="inlineStr">
        <is>
          <t>x9</t>
        </is>
      </c>
      <c r="L3" s="2" t="inlineStr">
        <is>
          <t>x3</t>
        </is>
      </c>
      <c r="M3" s="2" t="inlineStr">
        <is>
          <t>comp(u)</t>
        </is>
      </c>
      <c r="N3" s="2" t="inlineStr">
        <is>
          <t>comp(v)</t>
        </is>
      </c>
      <c r="O3" s="2" t="inlineStr">
        <is>
          <t>Acum</t>
        </is>
      </c>
    </row>
    <row r="4">
      <c r="A4" s="18" t="n">
        <v>1</v>
      </c>
      <c r="B4" s="18" t="inlineStr">
        <is>
          <t>x6 — x9</t>
        </is>
      </c>
      <c r="C4" s="19">
        <f>'A-Matriz MI'!G9</f>
        <v/>
      </c>
      <c r="D4" s="20">
        <f>IF(M4=N4,"Rechazado","Aceptado")</f>
        <v/>
      </c>
      <c r="E4" s="18">
        <f>IF(D4="Aceptado","","Ciclo: x6 y x9 ya conectados")</f>
        <v/>
      </c>
      <c r="F4" s="21" t="n">
        <v>1</v>
      </c>
      <c r="G4" s="21" t="n">
        <v>2</v>
      </c>
      <c r="H4" s="21" t="n">
        <v>3</v>
      </c>
      <c r="I4" s="21" t="n">
        <v>4</v>
      </c>
      <c r="J4" s="21" t="n">
        <v>5</v>
      </c>
      <c r="K4" s="21" t="n">
        <v>6</v>
      </c>
      <c r="L4" s="21" t="n">
        <v>7</v>
      </c>
      <c r="M4" s="8">
        <f>J4</f>
        <v/>
      </c>
      <c r="N4" s="8">
        <f>K4</f>
        <v/>
      </c>
      <c r="O4" s="9">
        <f>IF(D4="Aceptado",C4,0)</f>
        <v/>
      </c>
    </row>
    <row r="5">
      <c r="A5" s="18" t="n">
        <v>2</v>
      </c>
      <c r="B5" s="18" t="inlineStr">
        <is>
          <t>x2 — x5</t>
        </is>
      </c>
      <c r="C5" s="19">
        <f>'A-Matriz MI'!D6</f>
        <v/>
      </c>
      <c r="D5" s="20">
        <f>IF(M5=N5,"Rechazado","Aceptado")</f>
        <v/>
      </c>
      <c r="E5" s="18">
        <f>IF(D5="Aceptado","","Ciclo: x2 y x5 ya conectados")</f>
        <v/>
      </c>
      <c r="F5" s="21">
        <f>IF(D4="Aceptado",IF(F4=N4,M4,F4),F4)</f>
        <v/>
      </c>
      <c r="G5" s="21">
        <f>IF(D4="Aceptado",IF(G4=N4,M4,G4),G4)</f>
        <v/>
      </c>
      <c r="H5" s="21">
        <f>IF(D4="Aceptado",IF(H4=N4,M4,H4),H4)</f>
        <v/>
      </c>
      <c r="I5" s="21">
        <f>IF(D4="Aceptado",IF(I4=N4,M4,I4),I4)</f>
        <v/>
      </c>
      <c r="J5" s="21">
        <f>IF(D4="Aceptado",IF(J4=N4,M4,J4),J4)</f>
        <v/>
      </c>
      <c r="K5" s="21">
        <f>IF(D4="Aceptado",IF(K4=N4,M4,K4),K4)</f>
        <v/>
      </c>
      <c r="L5" s="21">
        <f>IF(D4="Aceptado",IF(L4=N4,M4,L4),L4)</f>
        <v/>
      </c>
      <c r="M5" s="8">
        <f>G5</f>
        <v/>
      </c>
      <c r="N5" s="8">
        <f>H5</f>
        <v/>
      </c>
      <c r="O5" s="9">
        <f>IF(D5="Aceptado",O4+C5,O4)</f>
        <v/>
      </c>
    </row>
    <row r="6">
      <c r="A6" s="18" t="n">
        <v>3</v>
      </c>
      <c r="B6" s="18" t="inlineStr">
        <is>
          <t>x4 — x9</t>
        </is>
      </c>
      <c r="C6" s="19">
        <f>'A-Matriz MI'!G8</f>
        <v/>
      </c>
      <c r="D6" s="20">
        <f>IF(M6=N6,"Rechazado","Aceptado")</f>
        <v/>
      </c>
      <c r="E6" s="18">
        <f>IF(D6="Aceptado","","Ciclo: x4 y x9 ya conectados")</f>
        <v/>
      </c>
      <c r="F6" s="21">
        <f>IF(D5="Aceptado",IF(F5=N5,M5,F5),F5)</f>
        <v/>
      </c>
      <c r="G6" s="21">
        <f>IF(D5="Aceptado",IF(G5=N5,M5,G5),G5)</f>
        <v/>
      </c>
      <c r="H6" s="21">
        <f>IF(D5="Aceptado",IF(H5=N5,M5,H5),H5)</f>
        <v/>
      </c>
      <c r="I6" s="21">
        <f>IF(D5="Aceptado",IF(I5=N5,M5,I5),I5)</f>
        <v/>
      </c>
      <c r="J6" s="21">
        <f>IF(D5="Aceptado",IF(J5=N5,M5,J5),J5)</f>
        <v/>
      </c>
      <c r="K6" s="21">
        <f>IF(D5="Aceptado",IF(K5=N5,M5,K5),K5)</f>
        <v/>
      </c>
      <c r="L6" s="21">
        <f>IF(D5="Aceptado",IF(L5=N5,M5,L5),L5)</f>
        <v/>
      </c>
      <c r="M6" s="8">
        <f>I6</f>
        <v/>
      </c>
      <c r="N6" s="8">
        <f>K6</f>
        <v/>
      </c>
      <c r="O6" s="9">
        <f>IF(D6="Aceptado",O5+C6,O5)</f>
        <v/>
      </c>
    </row>
    <row r="7">
      <c r="A7" s="18" t="n">
        <v>4</v>
      </c>
      <c r="B7" s="18" t="inlineStr">
        <is>
          <t>x1 — x5</t>
        </is>
      </c>
      <c r="C7" s="19">
        <f>'A-Matriz MI'!D5</f>
        <v/>
      </c>
      <c r="D7" s="20">
        <f>IF(M7=N7,"Rechazado","Aceptado")</f>
        <v/>
      </c>
      <c r="E7" s="18">
        <f>IF(D7="Aceptado","","Ciclo: x1 y x5 ya conectados")</f>
        <v/>
      </c>
      <c r="F7" s="21">
        <f>IF(D6="Aceptado",IF(F6=N6,M6,F6),F6)</f>
        <v/>
      </c>
      <c r="G7" s="21">
        <f>IF(D6="Aceptado",IF(G6=N6,M6,G6),G6)</f>
        <v/>
      </c>
      <c r="H7" s="21">
        <f>IF(D6="Aceptado",IF(H6=N6,M6,H6),H6)</f>
        <v/>
      </c>
      <c r="I7" s="21">
        <f>IF(D6="Aceptado",IF(I6=N6,M6,I6),I6)</f>
        <v/>
      </c>
      <c r="J7" s="21">
        <f>IF(D6="Aceptado",IF(J6=N6,M6,J6),J6)</f>
        <v/>
      </c>
      <c r="K7" s="21">
        <f>IF(D6="Aceptado",IF(K6=N6,M6,K6),K6)</f>
        <v/>
      </c>
      <c r="L7" s="21">
        <f>IF(D6="Aceptado",IF(L6=N6,M6,L6),L6)</f>
        <v/>
      </c>
      <c r="M7" s="8">
        <f>F7</f>
        <v/>
      </c>
      <c r="N7" s="8">
        <f>H7</f>
        <v/>
      </c>
      <c r="O7" s="9">
        <f>IF(D7="Aceptado",O6+C7,O6)</f>
        <v/>
      </c>
    </row>
    <row r="8">
      <c r="A8" s="18" t="n">
        <v>5</v>
      </c>
      <c r="B8" s="18" t="inlineStr">
        <is>
          <t>x5 — x9</t>
        </is>
      </c>
      <c r="C8" s="19">
        <f>'A-Matriz MI'!G7</f>
        <v/>
      </c>
      <c r="D8" s="20">
        <f>IF(M8=N8,"Rechazado","Aceptado")</f>
        <v/>
      </c>
      <c r="E8" s="18">
        <f>IF(D8="Aceptado","","Ciclo: x5 y x9 ya conectados")</f>
        <v/>
      </c>
      <c r="F8" s="21">
        <f>IF(D7="Aceptado",IF(F7=N7,M7,F7),F7)</f>
        <v/>
      </c>
      <c r="G8" s="21">
        <f>IF(D7="Aceptado",IF(G7=N7,M7,G7),G7)</f>
        <v/>
      </c>
      <c r="H8" s="21">
        <f>IF(D7="Aceptado",IF(H7=N7,M7,H7),H7)</f>
        <v/>
      </c>
      <c r="I8" s="21">
        <f>IF(D7="Aceptado",IF(I7=N7,M7,I7),I7)</f>
        <v/>
      </c>
      <c r="J8" s="21">
        <f>IF(D7="Aceptado",IF(J7=N7,M7,J7),J7)</f>
        <v/>
      </c>
      <c r="K8" s="21">
        <f>IF(D7="Aceptado",IF(K7=N7,M7,K7),K7)</f>
        <v/>
      </c>
      <c r="L8" s="21">
        <f>IF(D7="Aceptado",IF(L7=N7,M7,L7),L7)</f>
        <v/>
      </c>
      <c r="M8" s="8">
        <f>H8</f>
        <v/>
      </c>
      <c r="N8" s="8">
        <f>K8</f>
        <v/>
      </c>
      <c r="O8" s="9">
        <f>IF(D8="Aceptado",O7+C8,O7)</f>
        <v/>
      </c>
    </row>
    <row r="9">
      <c r="A9" s="22" t="n">
        <v>6</v>
      </c>
      <c r="B9" s="22" t="inlineStr">
        <is>
          <t>x1 — x2</t>
        </is>
      </c>
      <c r="C9" s="23">
        <f>'A-Matriz MI'!C5</f>
        <v/>
      </c>
      <c r="D9" s="24">
        <f>IF(M9=N9,"Rechazado","Aceptado")</f>
        <v/>
      </c>
      <c r="E9" s="22">
        <f>IF(D9="Aceptado","","Ciclo: x1 y x2 ya conectados")</f>
        <v/>
      </c>
      <c r="F9" s="21">
        <f>IF(D8="Aceptado",IF(F8=N8,M8,F8),F8)</f>
        <v/>
      </c>
      <c r="G9" s="21">
        <f>IF(D8="Aceptado",IF(G8=N8,M8,G8),G8)</f>
        <v/>
      </c>
      <c r="H9" s="21">
        <f>IF(D8="Aceptado",IF(H8=N8,M8,H8),H8)</f>
        <v/>
      </c>
      <c r="I9" s="21">
        <f>IF(D8="Aceptado",IF(I8=N8,M8,I8),I8)</f>
        <v/>
      </c>
      <c r="J9" s="21">
        <f>IF(D8="Aceptado",IF(J8=N8,M8,J8),J8)</f>
        <v/>
      </c>
      <c r="K9" s="21">
        <f>IF(D8="Aceptado",IF(K8=N8,M8,K8),K8)</f>
        <v/>
      </c>
      <c r="L9" s="21">
        <f>IF(D8="Aceptado",IF(L8=N8,M8,L8),L8)</f>
        <v/>
      </c>
      <c r="M9" s="8">
        <f>F9</f>
        <v/>
      </c>
      <c r="N9" s="8">
        <f>G9</f>
        <v/>
      </c>
      <c r="O9" s="9">
        <f>IF(D9="Aceptado",O8+C9,O8)</f>
        <v/>
      </c>
    </row>
    <row r="10">
      <c r="A10" s="18" t="n">
        <v>7</v>
      </c>
      <c r="B10" s="18" t="inlineStr">
        <is>
          <t>x9 — x3</t>
        </is>
      </c>
      <c r="C10" s="19">
        <f>'A-Matriz MI'!H10</f>
        <v/>
      </c>
      <c r="D10" s="20">
        <f>IF(M10=N10,"Rechazado","Aceptado")</f>
        <v/>
      </c>
      <c r="E10" s="18">
        <f>IF(D10="Aceptado","","Ciclo: x9 y x3 ya conectados")</f>
        <v/>
      </c>
      <c r="F10" s="21">
        <f>IF(D9="Aceptado",IF(F9=N9,M9,F9),F9)</f>
        <v/>
      </c>
      <c r="G10" s="21">
        <f>IF(D9="Aceptado",IF(G9=N9,M9,G9),G9)</f>
        <v/>
      </c>
      <c r="H10" s="21">
        <f>IF(D9="Aceptado",IF(H9=N9,M9,H9),H9)</f>
        <v/>
      </c>
      <c r="I10" s="21">
        <f>IF(D9="Aceptado",IF(I9=N9,M9,I9),I9)</f>
        <v/>
      </c>
      <c r="J10" s="21">
        <f>IF(D9="Aceptado",IF(J9=N9,M9,J9),J9)</f>
        <v/>
      </c>
      <c r="K10" s="21">
        <f>IF(D9="Aceptado",IF(K9=N9,M9,K9),K9)</f>
        <v/>
      </c>
      <c r="L10" s="21">
        <f>IF(D9="Aceptado",IF(L9=N9,M9,L9),L9)</f>
        <v/>
      </c>
      <c r="M10" s="8">
        <f>K10</f>
        <v/>
      </c>
      <c r="N10" s="8">
        <f>L10</f>
        <v/>
      </c>
      <c r="O10" s="9">
        <f>IF(D10="Aceptado",O9+C10,O9)</f>
        <v/>
      </c>
    </row>
    <row r="11">
      <c r="A11" s="22" t="n">
        <v>8</v>
      </c>
      <c r="B11" s="22" t="inlineStr">
        <is>
          <t>x4 — x3</t>
        </is>
      </c>
      <c r="C11" s="23">
        <f>'A-Matriz MI'!H8</f>
        <v/>
      </c>
      <c r="D11" s="24">
        <f>IF(M11=N11,"Rechazado","Aceptado")</f>
        <v/>
      </c>
      <c r="E11" s="22">
        <f>IF(D11="Aceptado","","Ciclo: x4 y x3 ya conectados")</f>
        <v/>
      </c>
      <c r="F11" s="21">
        <f>IF(D10="Aceptado",IF(F10=N10,M10,F10),F10)</f>
        <v/>
      </c>
      <c r="G11" s="21">
        <f>IF(D10="Aceptado",IF(G10=N10,M10,G10),G10)</f>
        <v/>
      </c>
      <c r="H11" s="21">
        <f>IF(D10="Aceptado",IF(H10=N10,M10,H10),H10)</f>
        <v/>
      </c>
      <c r="I11" s="21">
        <f>IF(D10="Aceptado",IF(I10=N10,M10,I10),I10)</f>
        <v/>
      </c>
      <c r="J11" s="21">
        <f>IF(D10="Aceptado",IF(J10=N10,M10,J10),J10)</f>
        <v/>
      </c>
      <c r="K11" s="21">
        <f>IF(D10="Aceptado",IF(K10=N10,M10,K10),K10)</f>
        <v/>
      </c>
      <c r="L11" s="21">
        <f>IF(D10="Aceptado",IF(L10=N10,M10,L10),L10)</f>
        <v/>
      </c>
      <c r="M11" s="8">
        <f>I11</f>
        <v/>
      </c>
      <c r="N11" s="8">
        <f>L11</f>
        <v/>
      </c>
      <c r="O11" s="9">
        <f>IF(D11="Aceptado",O10+C11,O10)</f>
        <v/>
      </c>
    </row>
    <row r="12">
      <c r="A12" s="22" t="n">
        <v>9</v>
      </c>
      <c r="B12" s="22" t="inlineStr">
        <is>
          <t>x2 — x9</t>
        </is>
      </c>
      <c r="C12" s="23">
        <f>'A-Matriz MI'!G6</f>
        <v/>
      </c>
      <c r="D12" s="24">
        <f>IF(M12=N12,"Rechazado","Aceptado")</f>
        <v/>
      </c>
      <c r="E12" s="22">
        <f>IF(D12="Aceptado","","Ciclo: x2 y x9 ya conectados")</f>
        <v/>
      </c>
      <c r="F12" s="21">
        <f>IF(D11="Aceptado",IF(F11=N11,M11,F11),F11)</f>
        <v/>
      </c>
      <c r="G12" s="21">
        <f>IF(D11="Aceptado",IF(G11=N11,M11,G11),G11)</f>
        <v/>
      </c>
      <c r="H12" s="21">
        <f>IF(D11="Aceptado",IF(H11=N11,M11,H11),H11)</f>
        <v/>
      </c>
      <c r="I12" s="21">
        <f>IF(D11="Aceptado",IF(I11=N11,M11,I11),I11)</f>
        <v/>
      </c>
      <c r="J12" s="21">
        <f>IF(D11="Aceptado",IF(J11=N11,M11,J11),J11)</f>
        <v/>
      </c>
      <c r="K12" s="21">
        <f>IF(D11="Aceptado",IF(K11=N11,M11,K11),K11)</f>
        <v/>
      </c>
      <c r="L12" s="21">
        <f>IF(D11="Aceptado",IF(L11=N11,M11,L11),L11)</f>
        <v/>
      </c>
      <c r="M12" s="8">
        <f>G12</f>
        <v/>
      </c>
      <c r="N12" s="8">
        <f>K12</f>
        <v/>
      </c>
      <c r="O12" s="9">
        <f>IF(D12="Aceptado",O11+C12,O11)</f>
        <v/>
      </c>
    </row>
    <row r="13">
      <c r="A13" s="22" t="n">
        <v>10</v>
      </c>
      <c r="B13" s="22" t="inlineStr">
        <is>
          <t>x1 — x9</t>
        </is>
      </c>
      <c r="C13" s="23">
        <f>'A-Matriz MI'!G5</f>
        <v/>
      </c>
      <c r="D13" s="24">
        <f>IF(M13=N13,"Rechazado","Aceptado")</f>
        <v/>
      </c>
      <c r="E13" s="22">
        <f>IF(D13="Aceptado","","Ciclo: x1 y x9 ya conectados")</f>
        <v/>
      </c>
      <c r="F13" s="21">
        <f>IF(D12="Aceptado",IF(F12=N12,M12,F12),F12)</f>
        <v/>
      </c>
      <c r="G13" s="21">
        <f>IF(D12="Aceptado",IF(G12=N12,M12,G12),G12)</f>
        <v/>
      </c>
      <c r="H13" s="21">
        <f>IF(D12="Aceptado",IF(H12=N12,M12,H12),H12)</f>
        <v/>
      </c>
      <c r="I13" s="21">
        <f>IF(D12="Aceptado",IF(I12=N12,M12,I12),I12)</f>
        <v/>
      </c>
      <c r="J13" s="21">
        <f>IF(D12="Aceptado",IF(J12=N12,M12,J12),J12)</f>
        <v/>
      </c>
      <c r="K13" s="21">
        <f>IF(D12="Aceptado",IF(K12=N12,M12,K12),K12)</f>
        <v/>
      </c>
      <c r="L13" s="21">
        <f>IF(D12="Aceptado",IF(L12=N12,M12,L12),L12)</f>
        <v/>
      </c>
      <c r="M13" s="8">
        <f>F13</f>
        <v/>
      </c>
      <c r="N13" s="8">
        <f>K13</f>
        <v/>
      </c>
      <c r="O13" s="9">
        <f>IF(D13="Aceptado",O12+C13,O12)</f>
        <v/>
      </c>
    </row>
    <row r="14">
      <c r="A14" s="22" t="n">
        <v>11</v>
      </c>
      <c r="B14" s="22" t="inlineStr">
        <is>
          <t>x1 — x4</t>
        </is>
      </c>
      <c r="C14" s="23">
        <f>'A-Matriz MI'!E5</f>
        <v/>
      </c>
      <c r="D14" s="24">
        <f>IF(M14=N14,"Rechazado","Aceptado")</f>
        <v/>
      </c>
      <c r="E14" s="22">
        <f>IF(D14="Aceptado","","Ciclo: x1 y x4 ya conectados")</f>
        <v/>
      </c>
      <c r="F14" s="21">
        <f>IF(D13="Aceptado",IF(F13=N13,M13,F13),F13)</f>
        <v/>
      </c>
      <c r="G14" s="21">
        <f>IF(D13="Aceptado",IF(G13=N13,M13,G13),G13)</f>
        <v/>
      </c>
      <c r="H14" s="21">
        <f>IF(D13="Aceptado",IF(H13=N13,M13,H13),H13)</f>
        <v/>
      </c>
      <c r="I14" s="21">
        <f>IF(D13="Aceptado",IF(I13=N13,M13,I13),I13)</f>
        <v/>
      </c>
      <c r="J14" s="21">
        <f>IF(D13="Aceptado",IF(J13=N13,M13,J13),J13)</f>
        <v/>
      </c>
      <c r="K14" s="21">
        <f>IF(D13="Aceptado",IF(K13=N13,M13,K13),K13)</f>
        <v/>
      </c>
      <c r="L14" s="21">
        <f>IF(D13="Aceptado",IF(L13=N13,M13,L13),L13)</f>
        <v/>
      </c>
      <c r="M14" s="8">
        <f>F14</f>
        <v/>
      </c>
      <c r="N14" s="8">
        <f>I14</f>
        <v/>
      </c>
      <c r="O14" s="9">
        <f>IF(D14="Aceptado",O13+C14,O13)</f>
        <v/>
      </c>
    </row>
    <row r="15">
      <c r="A15" s="22" t="n">
        <v>12</v>
      </c>
      <c r="B15" s="22" t="inlineStr">
        <is>
          <t>x5 — x3</t>
        </is>
      </c>
      <c r="C15" s="23">
        <f>'A-Matriz MI'!H7</f>
        <v/>
      </c>
      <c r="D15" s="24">
        <f>IF(M15=N15,"Rechazado","Aceptado")</f>
        <v/>
      </c>
      <c r="E15" s="22">
        <f>IF(D15="Aceptado","","Ciclo: x5 y x3 ya conectados")</f>
        <v/>
      </c>
      <c r="F15" s="21">
        <f>IF(D14="Aceptado",IF(F14=N14,M14,F14),F14)</f>
        <v/>
      </c>
      <c r="G15" s="21">
        <f>IF(D14="Aceptado",IF(G14=N14,M14,G14),G14)</f>
        <v/>
      </c>
      <c r="H15" s="21">
        <f>IF(D14="Aceptado",IF(H14=N14,M14,H14),H14)</f>
        <v/>
      </c>
      <c r="I15" s="21">
        <f>IF(D14="Aceptado",IF(I14=N14,M14,I14),I14)</f>
        <v/>
      </c>
      <c r="J15" s="21">
        <f>IF(D14="Aceptado",IF(J14=N14,M14,J14),J14)</f>
        <v/>
      </c>
      <c r="K15" s="21">
        <f>IF(D14="Aceptado",IF(K14=N14,M14,K14),K14)</f>
        <v/>
      </c>
      <c r="L15" s="21">
        <f>IF(D14="Aceptado",IF(L14=N14,M14,L14),L14)</f>
        <v/>
      </c>
      <c r="M15" s="8">
        <f>H15</f>
        <v/>
      </c>
      <c r="N15" s="8">
        <f>L15</f>
        <v/>
      </c>
      <c r="O15" s="9">
        <f>IF(D15="Aceptado",O14+C15,O14)</f>
        <v/>
      </c>
    </row>
    <row r="16">
      <c r="A16" s="22" t="n">
        <v>13</v>
      </c>
      <c r="B16" s="22" t="inlineStr">
        <is>
          <t>x5 — x4</t>
        </is>
      </c>
      <c r="C16" s="23">
        <f>'A-Matriz MI'!E7</f>
        <v/>
      </c>
      <c r="D16" s="24">
        <f>IF(M16=N16,"Rechazado","Aceptado")</f>
        <v/>
      </c>
      <c r="E16" s="22">
        <f>IF(D16="Aceptado","","Ciclo: x5 y x4 ya conectados")</f>
        <v/>
      </c>
      <c r="F16" s="21">
        <f>IF(D15="Aceptado",IF(F15=N15,M15,F15),F15)</f>
        <v/>
      </c>
      <c r="G16" s="21">
        <f>IF(D15="Aceptado",IF(G15=N15,M15,G15),G15)</f>
        <v/>
      </c>
      <c r="H16" s="21">
        <f>IF(D15="Aceptado",IF(H15=N15,M15,H15),H15)</f>
        <v/>
      </c>
      <c r="I16" s="21">
        <f>IF(D15="Aceptado",IF(I15=N15,M15,I15),I15)</f>
        <v/>
      </c>
      <c r="J16" s="21">
        <f>IF(D15="Aceptado",IF(J15=N15,M15,J15),J15)</f>
        <v/>
      </c>
      <c r="K16" s="21">
        <f>IF(D15="Aceptado",IF(K15=N15,M15,K15),K15)</f>
        <v/>
      </c>
      <c r="L16" s="21">
        <f>IF(D15="Aceptado",IF(L15=N15,M15,L15),L15)</f>
        <v/>
      </c>
      <c r="M16" s="8">
        <f>H16</f>
        <v/>
      </c>
      <c r="N16" s="8">
        <f>I16</f>
        <v/>
      </c>
      <c r="O16" s="9">
        <f>IF(D16="Aceptado",O15+C16,O15)</f>
        <v/>
      </c>
    </row>
    <row r="17">
      <c r="A17" s="22" t="n">
        <v>14</v>
      </c>
      <c r="B17" s="22" t="inlineStr">
        <is>
          <t>x5 — x6</t>
        </is>
      </c>
      <c r="C17" s="23">
        <f>'A-Matriz MI'!F7</f>
        <v/>
      </c>
      <c r="D17" s="24">
        <f>IF(M17=N17,"Rechazado","Aceptado")</f>
        <v/>
      </c>
      <c r="E17" s="22">
        <f>IF(D17="Aceptado","","Ciclo: x5 y x6 ya conectados")</f>
        <v/>
      </c>
      <c r="F17" s="21">
        <f>IF(D16="Aceptado",IF(F16=N16,M16,F16),F16)</f>
        <v/>
      </c>
      <c r="G17" s="21">
        <f>IF(D16="Aceptado",IF(G16=N16,M16,G16),G16)</f>
        <v/>
      </c>
      <c r="H17" s="21">
        <f>IF(D16="Aceptado",IF(H16=N16,M16,H16),H16)</f>
        <v/>
      </c>
      <c r="I17" s="21">
        <f>IF(D16="Aceptado",IF(I16=N16,M16,I16),I16)</f>
        <v/>
      </c>
      <c r="J17" s="21">
        <f>IF(D16="Aceptado",IF(J16=N16,M16,J16),J16)</f>
        <v/>
      </c>
      <c r="K17" s="21">
        <f>IF(D16="Aceptado",IF(K16=N16,M16,K16),K16)</f>
        <v/>
      </c>
      <c r="L17" s="21">
        <f>IF(D16="Aceptado",IF(L16=N16,M16,L16),L16)</f>
        <v/>
      </c>
      <c r="M17" s="8">
        <f>H17</f>
        <v/>
      </c>
      <c r="N17" s="8">
        <f>J17</f>
        <v/>
      </c>
      <c r="O17" s="9">
        <f>IF(D17="Aceptado",O16+C17,O16)</f>
        <v/>
      </c>
    </row>
    <row r="18">
      <c r="A18" s="22" t="n">
        <v>15</v>
      </c>
      <c r="B18" s="22" t="inlineStr">
        <is>
          <t>x2 — x3</t>
        </is>
      </c>
      <c r="C18" s="23">
        <f>'A-Matriz MI'!H6</f>
        <v/>
      </c>
      <c r="D18" s="24">
        <f>IF(M18=N18,"Rechazado","Aceptado")</f>
        <v/>
      </c>
      <c r="E18" s="22">
        <f>IF(D18="Aceptado","","Ciclo: x2 y x3 ya conectados")</f>
        <v/>
      </c>
      <c r="F18" s="21">
        <f>IF(D17="Aceptado",IF(F17=N17,M17,F17),F17)</f>
        <v/>
      </c>
      <c r="G18" s="21">
        <f>IF(D17="Aceptado",IF(G17=N17,M17,G17),G17)</f>
        <v/>
      </c>
      <c r="H18" s="21">
        <f>IF(D17="Aceptado",IF(H17=N17,M17,H17),H17)</f>
        <v/>
      </c>
      <c r="I18" s="21">
        <f>IF(D17="Aceptado",IF(I17=N17,M17,I17),I17)</f>
        <v/>
      </c>
      <c r="J18" s="21">
        <f>IF(D17="Aceptado",IF(J17=N17,M17,J17),J17)</f>
        <v/>
      </c>
      <c r="K18" s="21">
        <f>IF(D17="Aceptado",IF(K17=N17,M17,K17),K17)</f>
        <v/>
      </c>
      <c r="L18" s="21">
        <f>IF(D17="Aceptado",IF(L17=N17,M17,L17),L17)</f>
        <v/>
      </c>
      <c r="M18" s="8">
        <f>G18</f>
        <v/>
      </c>
      <c r="N18" s="8">
        <f>L18</f>
        <v/>
      </c>
      <c r="O18" s="9">
        <f>IF(D18="Aceptado",O17+C18,O17)</f>
        <v/>
      </c>
    </row>
    <row r="19">
      <c r="A19" s="22" t="n">
        <v>16</v>
      </c>
      <c r="B19" s="22" t="inlineStr">
        <is>
          <t>x1 — x3</t>
        </is>
      </c>
      <c r="C19" s="23">
        <f>'A-Matriz MI'!H5</f>
        <v/>
      </c>
      <c r="D19" s="24">
        <f>IF(M19=N19,"Rechazado","Aceptado")</f>
        <v/>
      </c>
      <c r="E19" s="22">
        <f>IF(D19="Aceptado","","Ciclo: x1 y x3 ya conectados")</f>
        <v/>
      </c>
      <c r="F19" s="21">
        <f>IF(D18="Aceptado",IF(F18=N18,M18,F18),F18)</f>
        <v/>
      </c>
      <c r="G19" s="21">
        <f>IF(D18="Aceptado",IF(G18=N18,M18,G18),G18)</f>
        <v/>
      </c>
      <c r="H19" s="21">
        <f>IF(D18="Aceptado",IF(H18=N18,M18,H18),H18)</f>
        <v/>
      </c>
      <c r="I19" s="21">
        <f>IF(D18="Aceptado",IF(I18=N18,M18,I18),I18)</f>
        <v/>
      </c>
      <c r="J19" s="21">
        <f>IF(D18="Aceptado",IF(J18=N18,M18,J18),J18)</f>
        <v/>
      </c>
      <c r="K19" s="21">
        <f>IF(D18="Aceptado",IF(K18=N18,M18,K18),K18)</f>
        <v/>
      </c>
      <c r="L19" s="21">
        <f>IF(D18="Aceptado",IF(L18=N18,M18,L18),L18)</f>
        <v/>
      </c>
      <c r="M19" s="8">
        <f>F19</f>
        <v/>
      </c>
      <c r="N19" s="8">
        <f>L19</f>
        <v/>
      </c>
      <c r="O19" s="9">
        <f>IF(D19="Aceptado",O18+C19,O18)</f>
        <v/>
      </c>
    </row>
    <row r="20">
      <c r="A20" s="22" t="n">
        <v>17</v>
      </c>
      <c r="B20" s="22" t="inlineStr">
        <is>
          <t>x4 — x6</t>
        </is>
      </c>
      <c r="C20" s="23">
        <f>'A-Matriz MI'!F8</f>
        <v/>
      </c>
      <c r="D20" s="24">
        <f>IF(M20=N20,"Rechazado","Aceptado")</f>
        <v/>
      </c>
      <c r="E20" s="22">
        <f>IF(D20="Aceptado","","Ciclo: x4 y x6 ya conectados")</f>
        <v/>
      </c>
      <c r="F20" s="21">
        <f>IF(D19="Aceptado",IF(F19=N19,M19,F19),F19)</f>
        <v/>
      </c>
      <c r="G20" s="21">
        <f>IF(D19="Aceptado",IF(G19=N19,M19,G19),G19)</f>
        <v/>
      </c>
      <c r="H20" s="21">
        <f>IF(D19="Aceptado",IF(H19=N19,M19,H19),H19)</f>
        <v/>
      </c>
      <c r="I20" s="21">
        <f>IF(D19="Aceptado",IF(I19=N19,M19,I19),I19)</f>
        <v/>
      </c>
      <c r="J20" s="21">
        <f>IF(D19="Aceptado",IF(J19=N19,M19,J19),J19)</f>
        <v/>
      </c>
      <c r="K20" s="21">
        <f>IF(D19="Aceptado",IF(K19=N19,M19,K19),K19)</f>
        <v/>
      </c>
      <c r="L20" s="21">
        <f>IF(D19="Aceptado",IF(L19=N19,M19,L19),L19)</f>
        <v/>
      </c>
      <c r="M20" s="8">
        <f>I20</f>
        <v/>
      </c>
      <c r="N20" s="8">
        <f>J20</f>
        <v/>
      </c>
      <c r="O20" s="9">
        <f>IF(D20="Aceptado",O19+C20,O19)</f>
        <v/>
      </c>
    </row>
    <row r="21">
      <c r="A21" s="22" t="n">
        <v>18</v>
      </c>
      <c r="B21" s="22" t="inlineStr">
        <is>
          <t>x1 — x6</t>
        </is>
      </c>
      <c r="C21" s="23">
        <f>'A-Matriz MI'!F5</f>
        <v/>
      </c>
      <c r="D21" s="24">
        <f>IF(M21=N21,"Rechazado","Aceptado")</f>
        <v/>
      </c>
      <c r="E21" s="22">
        <f>IF(D21="Aceptado","","Ciclo: x1 y x6 ya conectados")</f>
        <v/>
      </c>
      <c r="F21" s="21">
        <f>IF(D20="Aceptado",IF(F20=N20,M20,F20),F20)</f>
        <v/>
      </c>
      <c r="G21" s="21">
        <f>IF(D20="Aceptado",IF(G20=N20,M20,G20),G20)</f>
        <v/>
      </c>
      <c r="H21" s="21">
        <f>IF(D20="Aceptado",IF(H20=N20,M20,H20),H20)</f>
        <v/>
      </c>
      <c r="I21" s="21">
        <f>IF(D20="Aceptado",IF(I20=N20,M20,I20),I20)</f>
        <v/>
      </c>
      <c r="J21" s="21">
        <f>IF(D20="Aceptado",IF(J20=N20,M20,J20),J20)</f>
        <v/>
      </c>
      <c r="K21" s="21">
        <f>IF(D20="Aceptado",IF(K20=N20,M20,K20),K20)</f>
        <v/>
      </c>
      <c r="L21" s="21">
        <f>IF(D20="Aceptado",IF(L20=N20,M20,L20),L20)</f>
        <v/>
      </c>
      <c r="M21" s="8">
        <f>F21</f>
        <v/>
      </c>
      <c r="N21" s="8">
        <f>J21</f>
        <v/>
      </c>
      <c r="O21" s="9">
        <f>IF(D21="Aceptado",O20+C21,O20)</f>
        <v/>
      </c>
    </row>
    <row r="22">
      <c r="A22" s="22" t="n">
        <v>19</v>
      </c>
      <c r="B22" s="22" t="inlineStr">
        <is>
          <t>x6 — x3</t>
        </is>
      </c>
      <c r="C22" s="23">
        <f>'A-Matriz MI'!H9</f>
        <v/>
      </c>
      <c r="D22" s="24">
        <f>IF(M22=N22,"Rechazado","Aceptado")</f>
        <v/>
      </c>
      <c r="E22" s="22">
        <f>IF(D22="Aceptado","","Ciclo: x6 y x3 ya conectados")</f>
        <v/>
      </c>
      <c r="F22" s="21">
        <f>IF(D21="Aceptado",IF(F21=N21,M21,F21),F21)</f>
        <v/>
      </c>
      <c r="G22" s="21">
        <f>IF(D21="Aceptado",IF(G21=N21,M21,G21),G21)</f>
        <v/>
      </c>
      <c r="H22" s="21">
        <f>IF(D21="Aceptado",IF(H21=N21,M21,H21),H21)</f>
        <v/>
      </c>
      <c r="I22" s="21">
        <f>IF(D21="Aceptado",IF(I21=N21,M21,I21),I21)</f>
        <v/>
      </c>
      <c r="J22" s="21">
        <f>IF(D21="Aceptado",IF(J21=N21,M21,J21),J21)</f>
        <v/>
      </c>
      <c r="K22" s="21">
        <f>IF(D21="Aceptado",IF(K21=N21,M21,K21),K21)</f>
        <v/>
      </c>
      <c r="L22" s="21">
        <f>IF(D21="Aceptado",IF(L21=N21,M21,L21),L21)</f>
        <v/>
      </c>
      <c r="M22" s="8">
        <f>J22</f>
        <v/>
      </c>
      <c r="N22" s="8">
        <f>L22</f>
        <v/>
      </c>
      <c r="O22" s="9">
        <f>IF(D22="Aceptado",O21+C22,O21)</f>
        <v/>
      </c>
    </row>
    <row r="23">
      <c r="A23" s="22" t="n">
        <v>20</v>
      </c>
      <c r="B23" s="22" t="inlineStr">
        <is>
          <t>x2 — x6</t>
        </is>
      </c>
      <c r="C23" s="23">
        <f>'A-Matriz MI'!F6</f>
        <v/>
      </c>
      <c r="D23" s="24">
        <f>IF(M23=N23,"Rechazado","Aceptado")</f>
        <v/>
      </c>
      <c r="E23" s="22">
        <f>IF(D23="Aceptado","","Ciclo: x2 y x6 ya conectados")</f>
        <v/>
      </c>
      <c r="F23" s="21">
        <f>IF(D22="Aceptado",IF(F22=N22,M22,F22),F22)</f>
        <v/>
      </c>
      <c r="G23" s="21">
        <f>IF(D22="Aceptado",IF(G22=N22,M22,G22),G22)</f>
        <v/>
      </c>
      <c r="H23" s="21">
        <f>IF(D22="Aceptado",IF(H22=N22,M22,H22),H22)</f>
        <v/>
      </c>
      <c r="I23" s="21">
        <f>IF(D22="Aceptado",IF(I22=N22,M22,I22),I22)</f>
        <v/>
      </c>
      <c r="J23" s="21">
        <f>IF(D22="Aceptado",IF(J22=N22,M22,J22),J22)</f>
        <v/>
      </c>
      <c r="K23" s="21">
        <f>IF(D22="Aceptado",IF(K22=N22,M22,K22),K22)</f>
        <v/>
      </c>
      <c r="L23" s="21">
        <f>IF(D22="Aceptado",IF(L22=N22,M22,L22),L22)</f>
        <v/>
      </c>
      <c r="M23" s="8">
        <f>G23</f>
        <v/>
      </c>
      <c r="N23" s="8">
        <f>J23</f>
        <v/>
      </c>
      <c r="O23" s="9">
        <f>IF(D23="Aceptado",O22+C23,O22)</f>
        <v/>
      </c>
    </row>
    <row r="24">
      <c r="A24" s="22" t="n">
        <v>21</v>
      </c>
      <c r="B24" s="22" t="inlineStr">
        <is>
          <t>x2 — x4</t>
        </is>
      </c>
      <c r="C24" s="23">
        <f>'A-Matriz MI'!E6</f>
        <v/>
      </c>
      <c r="D24" s="24">
        <f>IF(M24=N24,"Rechazado","Aceptado")</f>
        <v/>
      </c>
      <c r="E24" s="22">
        <f>IF(D24="Aceptado","","Ciclo: x2 y x4 ya conectados")</f>
        <v/>
      </c>
      <c r="F24" s="21">
        <f>IF(D23="Aceptado",IF(F23=N23,M23,F23),F23)</f>
        <v/>
      </c>
      <c r="G24" s="21">
        <f>IF(D23="Aceptado",IF(G23=N23,M23,G23),G23)</f>
        <v/>
      </c>
      <c r="H24" s="21">
        <f>IF(D23="Aceptado",IF(H23=N23,M23,H23),H23)</f>
        <v/>
      </c>
      <c r="I24" s="21">
        <f>IF(D23="Aceptado",IF(I23=N23,M23,I23),I23)</f>
        <v/>
      </c>
      <c r="J24" s="21">
        <f>IF(D23="Aceptado",IF(J23=N23,M23,J23),J23)</f>
        <v/>
      </c>
      <c r="K24" s="21">
        <f>IF(D23="Aceptado",IF(K23=N23,M23,K23),K23)</f>
        <v/>
      </c>
      <c r="L24" s="21">
        <f>IF(D23="Aceptado",IF(L23=N23,M23,L23),L23)</f>
        <v/>
      </c>
      <c r="M24" s="8">
        <f>G24</f>
        <v/>
      </c>
      <c r="N24" s="8">
        <f>I24</f>
        <v/>
      </c>
      <c r="O24" s="9">
        <f>IF(D24="Aceptado",O23+C24,O23)</f>
        <v/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31" customWidth="1" min="5" max="5"/>
    <col width="10" customWidth="1" min="6" max="6"/>
  </cols>
  <sheetData>
    <row r="1">
      <c r="A1" s="12" t="inlineStr">
        <is>
          <t>Dataset A — Algoritmo de Prim (desde x5)</t>
        </is>
      </c>
    </row>
    <row r="3">
      <c r="A3" s="6" t="inlineStr">
        <is>
          <t>Paso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Origen→Destino</t>
        </is>
      </c>
      <c r="E3" s="6" t="inlineStr">
        <is>
          <t>Visitados</t>
        </is>
      </c>
      <c r="F3" s="6" t="inlineStr">
        <is>
          <t>Acum</t>
        </is>
      </c>
    </row>
    <row r="4">
      <c r="A4" s="18" t="inlineStr">
        <is>
          <t>Paso 1</t>
        </is>
      </c>
      <c r="B4" s="18" t="inlineStr">
        <is>
          <t>x5 — x2</t>
        </is>
      </c>
      <c r="C4" s="19" t="n">
        <v>0.6869</v>
      </c>
      <c r="D4" s="18" t="inlineStr">
        <is>
          <t>x5 → x2</t>
        </is>
      </c>
      <c r="E4" s="18" t="inlineStr">
        <is>
          <t>{x2, x5}</t>
        </is>
      </c>
      <c r="F4" s="19" t="n">
        <v>0.6869</v>
      </c>
    </row>
    <row r="5">
      <c r="A5" s="18" t="inlineStr">
        <is>
          <t>Paso 2</t>
        </is>
      </c>
      <c r="B5" s="18" t="inlineStr">
        <is>
          <t>x5 — x1</t>
        </is>
      </c>
      <c r="C5" s="19" t="n">
        <v>0.4237</v>
      </c>
      <c r="D5" s="18" t="inlineStr">
        <is>
          <t>x5 → x1</t>
        </is>
      </c>
      <c r="E5" s="18" t="inlineStr">
        <is>
          <t>{x2, x5, x1}</t>
        </is>
      </c>
      <c r="F5" s="19" t="n">
        <v>1.1106</v>
      </c>
    </row>
    <row r="6">
      <c r="A6" s="18" t="inlineStr">
        <is>
          <t>Paso 3</t>
        </is>
      </c>
      <c r="B6" s="18" t="inlineStr">
        <is>
          <t>x5 — x9</t>
        </is>
      </c>
      <c r="C6" s="19" t="n">
        <v>0.0069</v>
      </c>
      <c r="D6" s="18" t="inlineStr">
        <is>
          <t>x5 → x9</t>
        </is>
      </c>
      <c r="E6" s="18" t="inlineStr">
        <is>
          <t>{x9, x2, x5, x1}</t>
        </is>
      </c>
      <c r="F6" s="19" t="n">
        <v>1.1175</v>
      </c>
    </row>
    <row r="7">
      <c r="A7" s="18" t="inlineStr">
        <is>
          <t>Paso 4</t>
        </is>
      </c>
      <c r="B7" s="18" t="inlineStr">
        <is>
          <t>x9 — x6</t>
        </is>
      </c>
      <c r="C7" s="19" t="n">
        <v>0.9998</v>
      </c>
      <c r="D7" s="18" t="inlineStr">
        <is>
          <t>x9 → x6</t>
        </is>
      </c>
      <c r="E7" s="18" t="inlineStr">
        <is>
          <t>{x2, x6, x1, x9, x5}</t>
        </is>
      </c>
      <c r="F7" s="19" t="n">
        <v>2.1174</v>
      </c>
    </row>
    <row r="8">
      <c r="A8" s="18" t="inlineStr">
        <is>
          <t>Paso 5</t>
        </is>
      </c>
      <c r="B8" s="18" t="inlineStr">
        <is>
          <t>x9 — x4</t>
        </is>
      </c>
      <c r="C8" s="19" t="n">
        <v>0.6860000000000001</v>
      </c>
      <c r="D8" s="18" t="inlineStr">
        <is>
          <t>x9 → x4</t>
        </is>
      </c>
      <c r="E8" s="18" t="inlineStr">
        <is>
          <t>{x4, x2, x6, x1, x9, x5}</t>
        </is>
      </c>
      <c r="F8" s="19" t="n">
        <v>2.8034</v>
      </c>
    </row>
    <row r="9">
      <c r="A9" s="18" t="inlineStr">
        <is>
          <t>Paso 6</t>
        </is>
      </c>
      <c r="B9" s="18" t="inlineStr">
        <is>
          <t>x9 — x3</t>
        </is>
      </c>
      <c r="C9" s="19" t="n">
        <v>0.0058</v>
      </c>
      <c r="D9" s="18" t="inlineStr">
        <is>
          <t>x9 → x3</t>
        </is>
      </c>
      <c r="E9" s="18" t="inlineStr">
        <is>
          <t>{x4, x2, x6, x1, x3, x9, x5}</t>
        </is>
      </c>
      <c r="F9" s="19" t="n">
        <v>2.8092</v>
      </c>
    </row>
    <row r="11">
      <c r="A11" s="25" t="inlineStr">
        <is>
          <t>PESO TOTAL MST (Prim)</t>
        </is>
      </c>
      <c r="B11" s="26" t="n"/>
      <c r="C11" s="26" t="n"/>
      <c r="D11" s="26" t="n"/>
      <c r="E11" s="27" t="n"/>
      <c r="F11" s="11" t="n">
        <v>2.8092</v>
      </c>
    </row>
  </sheetData>
  <mergeCells count="2">
    <mergeCell ref="A11:E11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</cols>
  <sheetData>
    <row r="1">
      <c r="A1" s="12" t="inlineStr">
        <is>
          <t>Dataset A — MST Resumen</t>
        </is>
      </c>
    </row>
    <row r="3">
      <c r="A3" s="6" t="inlineStr">
        <is>
          <t>#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Acumulado</t>
        </is>
      </c>
    </row>
    <row r="4">
      <c r="A4" s="18" t="n">
        <v>1</v>
      </c>
      <c r="B4" s="18" t="inlineStr">
        <is>
          <t>x6 — x9</t>
        </is>
      </c>
      <c r="C4" s="19" t="n">
        <v>0.9998</v>
      </c>
      <c r="D4" s="19" t="n">
        <v>0.9998</v>
      </c>
    </row>
    <row r="5">
      <c r="A5" s="18" t="n">
        <v>2</v>
      </c>
      <c r="B5" s="18" t="inlineStr">
        <is>
          <t>x2 — x5</t>
        </is>
      </c>
      <c r="C5" s="19" t="n">
        <v>0.6869</v>
      </c>
      <c r="D5" s="19" t="n">
        <v>1.6867</v>
      </c>
    </row>
    <row r="6">
      <c r="A6" s="18" t="n">
        <v>3</v>
      </c>
      <c r="B6" s="18" t="inlineStr">
        <is>
          <t>x4 — x9</t>
        </is>
      </c>
      <c r="C6" s="19" t="n">
        <v>0.6860000000000001</v>
      </c>
      <c r="D6" s="19" t="n">
        <v>2.3728</v>
      </c>
    </row>
    <row r="7">
      <c r="A7" s="18" t="n">
        <v>4</v>
      </c>
      <c r="B7" s="18" t="inlineStr">
        <is>
          <t>x1 — x5</t>
        </is>
      </c>
      <c r="C7" s="19" t="n">
        <v>0.4237</v>
      </c>
      <c r="D7" s="19" t="n">
        <v>2.7965</v>
      </c>
    </row>
    <row r="8">
      <c r="A8" s="18" t="n">
        <v>5</v>
      </c>
      <c r="B8" s="18" t="inlineStr">
        <is>
          <t>x5 — x9</t>
        </is>
      </c>
      <c r="C8" s="19" t="n">
        <v>0.0069</v>
      </c>
      <c r="D8" s="19" t="n">
        <v>2.8034</v>
      </c>
    </row>
    <row r="9">
      <c r="A9" s="18" t="n">
        <v>6</v>
      </c>
      <c r="B9" s="18" t="inlineStr">
        <is>
          <t>x9 — x3</t>
        </is>
      </c>
      <c r="C9" s="19" t="n">
        <v>0.0058</v>
      </c>
      <c r="D9" s="19" t="n">
        <v>2.8092</v>
      </c>
    </row>
    <row r="11">
      <c r="A11" s="25" t="inlineStr">
        <is>
          <t>PESO TOTAL MST</t>
        </is>
      </c>
      <c r="B11" s="27" t="n"/>
      <c r="C11" s="11" t="n">
        <v>2.8092</v>
      </c>
      <c r="D11" s="15" t="n"/>
    </row>
  </sheetData>
  <mergeCells count="2">
    <mergeCell ref="A1:D1"/>
    <mergeCell ref="A11:B1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x5</t>
        </is>
      </c>
      <c r="D1" t="inlineStr">
        <is>
          <t>x4</t>
        </is>
      </c>
      <c r="E1" t="inlineStr">
        <is>
          <t>x6</t>
        </is>
      </c>
      <c r="F1" t="inlineStr">
        <is>
          <t>x9</t>
        </is>
      </c>
      <c r="G1" t="inlineStr">
        <is>
          <t>x3</t>
        </is>
      </c>
    </row>
    <row r="2">
      <c r="A2" t="n">
        <v>1</v>
      </c>
      <c r="B2" t="n">
        <v>0</v>
      </c>
      <c r="C2" t="n">
        <v>2</v>
      </c>
      <c r="D2" t="n">
        <v>0</v>
      </c>
      <c r="E2" t="n">
        <v>1</v>
      </c>
      <c r="F2" t="n">
        <v>1</v>
      </c>
      <c r="G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1</v>
      </c>
      <c r="F3" t="n">
        <v>3</v>
      </c>
      <c r="G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0</v>
      </c>
      <c r="F4" t="n">
        <v>2</v>
      </c>
      <c r="G4" t="n">
        <v>1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2</v>
      </c>
      <c r="G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3</v>
      </c>
      <c r="G7" t="n">
        <v>1</v>
      </c>
    </row>
    <row r="8">
      <c r="A8" t="n">
        <v>0</v>
      </c>
      <c r="B8" t="n">
        <v>0</v>
      </c>
      <c r="C8" t="n">
        <v>0</v>
      </c>
      <c r="D8" t="n">
        <v>1</v>
      </c>
      <c r="E8" t="n">
        <v>1</v>
      </c>
      <c r="F8" t="n">
        <v>3</v>
      </c>
      <c r="G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0</v>
      </c>
      <c r="F9" t="n">
        <v>2</v>
      </c>
      <c r="G9" t="n">
        <v>1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2</v>
      </c>
      <c r="G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1</v>
      </c>
      <c r="F11" t="n">
        <v>3</v>
      </c>
      <c r="G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3</v>
      </c>
      <c r="G12" t="n">
        <v>1</v>
      </c>
    </row>
    <row r="13">
      <c r="A13" t="n">
        <v>1</v>
      </c>
      <c r="B13" t="n">
        <v>0</v>
      </c>
      <c r="C13" t="n">
        <v>2</v>
      </c>
      <c r="D13" t="n">
        <v>1</v>
      </c>
      <c r="E13" t="n">
        <v>0</v>
      </c>
      <c r="F13" t="n">
        <v>2</v>
      </c>
      <c r="G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0</v>
      </c>
      <c r="F14" t="n">
        <v>2</v>
      </c>
      <c r="G14" t="n">
        <v>1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</row>
    <row r="16">
      <c r="A16" t="n">
        <v>1</v>
      </c>
      <c r="B16" t="n">
        <v>0</v>
      </c>
      <c r="C16" t="n">
        <v>2</v>
      </c>
      <c r="D16" t="n">
        <v>1</v>
      </c>
      <c r="E16" t="n">
        <v>0</v>
      </c>
      <c r="F16" t="n">
        <v>2</v>
      </c>
      <c r="G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3</v>
      </c>
      <c r="G17" t="n">
        <v>1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3</v>
      </c>
      <c r="G18" t="n">
        <v>1</v>
      </c>
    </row>
    <row r="19">
      <c r="A19" t="n">
        <v>0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1</v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1</v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2</v>
      </c>
      <c r="G22" t="n">
        <v>1</v>
      </c>
    </row>
    <row r="23">
      <c r="A23" t="n">
        <v>0</v>
      </c>
      <c r="B23" t="n">
        <v>1</v>
      </c>
      <c r="C23" t="n">
        <v>1</v>
      </c>
      <c r="D23" t="n">
        <v>1</v>
      </c>
      <c r="E23" t="n">
        <v>1</v>
      </c>
      <c r="F23" t="n">
        <v>3</v>
      </c>
      <c r="G23" t="n">
        <v>1</v>
      </c>
    </row>
    <row r="24">
      <c r="A24" t="n">
        <v>1</v>
      </c>
      <c r="B24" t="n">
        <v>0</v>
      </c>
      <c r="C24" t="n">
        <v>2</v>
      </c>
      <c r="D24" t="n">
        <v>1</v>
      </c>
      <c r="E24" t="n">
        <v>0</v>
      </c>
      <c r="F24" t="n">
        <v>2</v>
      </c>
      <c r="G24" t="n">
        <v>1</v>
      </c>
    </row>
    <row r="25">
      <c r="A25" t="n">
        <v>1</v>
      </c>
      <c r="B25" t="n">
        <v>1</v>
      </c>
      <c r="C25" t="n">
        <v>0</v>
      </c>
      <c r="D25" t="n">
        <v>1</v>
      </c>
      <c r="E25" t="n">
        <v>0</v>
      </c>
      <c r="F25" t="n">
        <v>2</v>
      </c>
      <c r="G25" t="n">
        <v>1</v>
      </c>
    </row>
    <row r="26">
      <c r="A26" t="n">
        <v>0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</row>
    <row r="27">
      <c r="A27" t="n">
        <v>1</v>
      </c>
      <c r="B27" t="n">
        <v>0</v>
      </c>
      <c r="C27" t="n">
        <v>2</v>
      </c>
      <c r="D27" t="n">
        <v>1</v>
      </c>
      <c r="E27" t="n">
        <v>0</v>
      </c>
      <c r="F27" t="n">
        <v>2</v>
      </c>
      <c r="G27" t="n">
        <v>1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1</v>
      </c>
      <c r="F28" t="n">
        <v>3</v>
      </c>
      <c r="G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0</v>
      </c>
      <c r="F29" t="n">
        <v>2</v>
      </c>
      <c r="G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3</v>
      </c>
      <c r="G30" t="n">
        <v>1</v>
      </c>
    </row>
    <row r="31">
      <c r="A31" t="n">
        <v>1</v>
      </c>
      <c r="B31" t="n">
        <v>1</v>
      </c>
      <c r="C31" t="n">
        <v>0</v>
      </c>
      <c r="D31" t="n">
        <v>1</v>
      </c>
      <c r="E31" t="n">
        <v>0</v>
      </c>
      <c r="F31" t="n">
        <v>2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2</v>
      </c>
      <c r="G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3</v>
      </c>
      <c r="G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0</v>
      </c>
      <c r="F34" t="n">
        <v>2</v>
      </c>
      <c r="G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3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1</v>
      </c>
      <c r="F36" t="n">
        <v>3</v>
      </c>
      <c r="G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3</v>
      </c>
      <c r="G37" t="n">
        <v>1</v>
      </c>
    </row>
    <row r="38">
      <c r="A38" t="n">
        <v>1</v>
      </c>
      <c r="B38" t="n">
        <v>1</v>
      </c>
      <c r="C38" t="n">
        <v>0</v>
      </c>
      <c r="D38" t="n">
        <v>1</v>
      </c>
      <c r="E38" t="n">
        <v>0</v>
      </c>
      <c r="F38" t="n">
        <v>2</v>
      </c>
      <c r="G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1</v>
      </c>
    </row>
    <row r="40">
      <c r="A40" t="n">
        <v>0</v>
      </c>
      <c r="B40" t="n">
        <v>1</v>
      </c>
      <c r="C40" t="n">
        <v>1</v>
      </c>
      <c r="D40" t="n">
        <v>1</v>
      </c>
      <c r="E40" t="n">
        <v>1</v>
      </c>
      <c r="F40" t="n">
        <v>3</v>
      </c>
      <c r="G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2</v>
      </c>
      <c r="G41" t="n">
        <v>0</v>
      </c>
    </row>
    <row r="42">
      <c r="A42" t="n">
        <v>0</v>
      </c>
      <c r="B42" t="n">
        <v>0</v>
      </c>
      <c r="C42" t="n">
        <v>0</v>
      </c>
      <c r="D42" t="n">
        <v>1</v>
      </c>
      <c r="E42" t="n">
        <v>1</v>
      </c>
      <c r="F42" t="n">
        <v>3</v>
      </c>
      <c r="G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3</v>
      </c>
      <c r="G44" t="n">
        <v>0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0</v>
      </c>
      <c r="F46" t="n">
        <v>2</v>
      </c>
      <c r="G46" t="n">
        <v>1</v>
      </c>
    </row>
    <row r="47">
      <c r="A47" t="n">
        <v>1</v>
      </c>
      <c r="B47" t="n">
        <v>1</v>
      </c>
      <c r="C47" t="n">
        <v>0</v>
      </c>
      <c r="D47" t="n">
        <v>1</v>
      </c>
      <c r="E47" t="n">
        <v>0</v>
      </c>
      <c r="F47" t="n">
        <v>2</v>
      </c>
      <c r="G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3</v>
      </c>
      <c r="G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3</v>
      </c>
      <c r="G51" t="n">
        <v>1</v>
      </c>
    </row>
    <row r="52">
      <c r="A52" t="n">
        <v>1</v>
      </c>
      <c r="B52" t="n">
        <v>0</v>
      </c>
      <c r="C52" t="n">
        <v>2</v>
      </c>
      <c r="D52" t="n">
        <v>1</v>
      </c>
      <c r="E52" t="n">
        <v>0</v>
      </c>
      <c r="F52" t="n">
        <v>2</v>
      </c>
      <c r="G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3</v>
      </c>
      <c r="G54" t="n">
        <v>0</v>
      </c>
    </row>
    <row r="55">
      <c r="A55" t="n">
        <v>1</v>
      </c>
      <c r="B55" t="n">
        <v>0</v>
      </c>
      <c r="C55" t="n">
        <v>2</v>
      </c>
      <c r="D55" t="n">
        <v>1</v>
      </c>
      <c r="E55" t="n">
        <v>0</v>
      </c>
      <c r="F55" t="n">
        <v>2</v>
      </c>
      <c r="G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3</v>
      </c>
      <c r="G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0</v>
      </c>
      <c r="F57" t="n">
        <v>2</v>
      </c>
      <c r="G57" t="n">
        <v>1</v>
      </c>
    </row>
    <row r="58">
      <c r="A58" t="n">
        <v>0</v>
      </c>
      <c r="B58" t="n">
        <v>1</v>
      </c>
      <c r="C58" t="n">
        <v>1</v>
      </c>
      <c r="D58" t="n">
        <v>1</v>
      </c>
      <c r="E58" t="n">
        <v>0</v>
      </c>
      <c r="F58" t="n">
        <v>2</v>
      </c>
      <c r="G58" t="n">
        <v>0</v>
      </c>
    </row>
    <row r="59">
      <c r="A59" t="n">
        <v>0</v>
      </c>
      <c r="B59" t="n">
        <v>0</v>
      </c>
      <c r="C59" t="n">
        <v>0</v>
      </c>
      <c r="D59" t="n">
        <v>1</v>
      </c>
      <c r="E59" t="n">
        <v>1</v>
      </c>
      <c r="F59" t="n">
        <v>3</v>
      </c>
      <c r="G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0</v>
      </c>
      <c r="F61" t="n">
        <v>2</v>
      </c>
      <c r="G61" t="n">
        <v>1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2</v>
      </c>
      <c r="G63" t="n">
        <v>0</v>
      </c>
    </row>
    <row r="64">
      <c r="A64" t="n">
        <v>0</v>
      </c>
      <c r="B64" t="n">
        <v>0</v>
      </c>
      <c r="C64" t="n">
        <v>0</v>
      </c>
      <c r="D64" t="n">
        <v>1</v>
      </c>
      <c r="E64" t="n">
        <v>0</v>
      </c>
      <c r="F64" t="n">
        <v>2</v>
      </c>
      <c r="G64" t="n">
        <v>0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3</v>
      </c>
      <c r="G65" t="n">
        <v>1</v>
      </c>
    </row>
    <row r="66">
      <c r="A66" t="n">
        <v>1</v>
      </c>
      <c r="B66" t="n">
        <v>1</v>
      </c>
      <c r="C66" t="n">
        <v>0</v>
      </c>
      <c r="D66" t="n">
        <v>1</v>
      </c>
      <c r="E66" t="n">
        <v>0</v>
      </c>
      <c r="F66" t="n">
        <v>2</v>
      </c>
      <c r="G66" t="n">
        <v>1</v>
      </c>
    </row>
    <row r="67">
      <c r="A67" t="n">
        <v>0</v>
      </c>
      <c r="B67" t="n">
        <v>1</v>
      </c>
      <c r="C67" t="n">
        <v>1</v>
      </c>
      <c r="D67" t="n">
        <v>0</v>
      </c>
      <c r="E67" t="n">
        <v>1</v>
      </c>
      <c r="F67" t="n">
        <v>1</v>
      </c>
      <c r="G67" t="n">
        <v>1</v>
      </c>
    </row>
    <row r="68">
      <c r="A68" t="n">
        <v>0</v>
      </c>
      <c r="B68" t="n">
        <v>0</v>
      </c>
      <c r="C68" t="n">
        <v>0</v>
      </c>
      <c r="D68" t="n">
        <v>1</v>
      </c>
      <c r="E68" t="n">
        <v>0</v>
      </c>
      <c r="F68" t="n">
        <v>2</v>
      </c>
      <c r="G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0</v>
      </c>
      <c r="F69" t="n">
        <v>2</v>
      </c>
      <c r="G69" t="n">
        <v>1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1</v>
      </c>
      <c r="F70" t="n">
        <v>3</v>
      </c>
      <c r="G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1</v>
      </c>
    </row>
    <row r="72">
      <c r="A72" t="n">
        <v>0</v>
      </c>
      <c r="B72" t="n">
        <v>0</v>
      </c>
      <c r="C72" t="n">
        <v>0</v>
      </c>
      <c r="D72" t="n">
        <v>1</v>
      </c>
      <c r="E72" t="n">
        <v>0</v>
      </c>
      <c r="F72" t="n">
        <v>2</v>
      </c>
      <c r="G72" t="n">
        <v>1</v>
      </c>
    </row>
    <row r="73">
      <c r="A73" t="n">
        <v>0</v>
      </c>
      <c r="B73" t="n">
        <v>0</v>
      </c>
      <c r="C73" t="n">
        <v>0</v>
      </c>
      <c r="D73" t="n">
        <v>1</v>
      </c>
      <c r="E73" t="n">
        <v>1</v>
      </c>
      <c r="F73" t="n">
        <v>3</v>
      </c>
      <c r="G73" t="n">
        <v>1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1</v>
      </c>
      <c r="F74" t="n">
        <v>3</v>
      </c>
      <c r="G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3</v>
      </c>
      <c r="G75" t="n">
        <v>1</v>
      </c>
    </row>
    <row r="76">
      <c r="A76" t="n">
        <v>0</v>
      </c>
      <c r="B76" t="n">
        <v>0</v>
      </c>
      <c r="C76" t="n">
        <v>0</v>
      </c>
      <c r="D76" t="n">
        <v>1</v>
      </c>
      <c r="E76" t="n">
        <v>0</v>
      </c>
      <c r="F76" t="n">
        <v>2</v>
      </c>
      <c r="G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2</v>
      </c>
      <c r="G78" t="n">
        <v>1</v>
      </c>
    </row>
    <row r="79">
      <c r="A79" t="n">
        <v>1</v>
      </c>
      <c r="B79" t="n">
        <v>0</v>
      </c>
      <c r="C79" t="n">
        <v>2</v>
      </c>
      <c r="D79" t="n">
        <v>0</v>
      </c>
      <c r="E79" t="n">
        <v>0</v>
      </c>
      <c r="F79" t="n">
        <v>0</v>
      </c>
      <c r="G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0</v>
      </c>
      <c r="F80" t="n">
        <v>2</v>
      </c>
      <c r="G80" t="n">
        <v>1</v>
      </c>
    </row>
    <row r="81">
      <c r="A81" t="n">
        <v>0</v>
      </c>
      <c r="B81" t="n">
        <v>0</v>
      </c>
      <c r="C81" t="n">
        <v>0</v>
      </c>
      <c r="D81" t="n">
        <v>1</v>
      </c>
      <c r="E81" t="n">
        <v>1</v>
      </c>
      <c r="F81" t="n">
        <v>3</v>
      </c>
      <c r="G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1</v>
      </c>
      <c r="F82" t="n">
        <v>3</v>
      </c>
      <c r="G82" t="n">
        <v>1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</row>
    <row r="85">
      <c r="A85" t="n">
        <v>0</v>
      </c>
      <c r="B85" t="n">
        <v>0</v>
      </c>
      <c r="C85" t="n">
        <v>0</v>
      </c>
      <c r="D85" t="n">
        <v>1</v>
      </c>
      <c r="E85" t="n">
        <v>1</v>
      </c>
      <c r="F85" t="n">
        <v>3</v>
      </c>
      <c r="G85" t="n">
        <v>1</v>
      </c>
    </row>
    <row r="86">
      <c r="A86" t="n">
        <v>0</v>
      </c>
      <c r="B86" t="n">
        <v>0</v>
      </c>
      <c r="C86" t="n">
        <v>0</v>
      </c>
      <c r="D86" t="n">
        <v>1</v>
      </c>
      <c r="E86" t="n">
        <v>0</v>
      </c>
      <c r="F86" t="n">
        <v>2</v>
      </c>
      <c r="G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0</v>
      </c>
      <c r="F88" t="n">
        <v>2</v>
      </c>
      <c r="G88" t="n">
        <v>1</v>
      </c>
    </row>
    <row r="89">
      <c r="A89" t="n">
        <v>1</v>
      </c>
      <c r="B89" t="n">
        <v>0</v>
      </c>
      <c r="C89" t="n">
        <v>2</v>
      </c>
      <c r="D89" t="n">
        <v>1</v>
      </c>
      <c r="E89" t="n">
        <v>1</v>
      </c>
      <c r="F89" t="n">
        <v>3</v>
      </c>
      <c r="G89" t="n">
        <v>0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1</v>
      </c>
      <c r="F90" t="n">
        <v>3</v>
      </c>
      <c r="G90" t="n">
        <v>1</v>
      </c>
    </row>
    <row r="91">
      <c r="A91" t="n">
        <v>1</v>
      </c>
      <c r="B91" t="n">
        <v>0</v>
      </c>
      <c r="C91" t="n">
        <v>2</v>
      </c>
      <c r="D91" t="n">
        <v>1</v>
      </c>
      <c r="E91" t="n">
        <v>0</v>
      </c>
      <c r="F91" t="n">
        <v>2</v>
      </c>
      <c r="G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2</v>
      </c>
      <c r="G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3</v>
      </c>
      <c r="G94" t="n">
        <v>1</v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1</v>
      </c>
      <c r="E96" t="n">
        <v>0</v>
      </c>
      <c r="F96" t="n">
        <v>2</v>
      </c>
      <c r="G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2</v>
      </c>
      <c r="G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2</v>
      </c>
      <c r="G98" t="n">
        <v>1</v>
      </c>
    </row>
    <row r="99">
      <c r="A99" t="n">
        <v>0</v>
      </c>
      <c r="B99" t="n">
        <v>0</v>
      </c>
      <c r="C99" t="n">
        <v>0</v>
      </c>
      <c r="D99" t="n">
        <v>1</v>
      </c>
      <c r="E99" t="n">
        <v>0</v>
      </c>
      <c r="F99" t="n">
        <v>2</v>
      </c>
      <c r="G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3</v>
      </c>
      <c r="G102" t="n">
        <v>0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1</v>
      </c>
      <c r="F103" t="n">
        <v>3</v>
      </c>
      <c r="G103" t="n">
        <v>1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</row>
    <row r="105">
      <c r="A105" t="n">
        <v>1</v>
      </c>
      <c r="B105" t="n">
        <v>0</v>
      </c>
      <c r="C105" t="n">
        <v>2</v>
      </c>
      <c r="D105" t="n">
        <v>1</v>
      </c>
      <c r="E105" t="n">
        <v>1</v>
      </c>
      <c r="F105" t="n">
        <v>3</v>
      </c>
      <c r="G105" t="n">
        <v>1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2</v>
      </c>
      <c r="G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2</v>
      </c>
      <c r="G107" t="n">
        <v>0</v>
      </c>
    </row>
    <row r="108">
      <c r="A108" t="n">
        <v>1</v>
      </c>
      <c r="B108" t="n">
        <v>0</v>
      </c>
      <c r="C108" t="n">
        <v>2</v>
      </c>
      <c r="D108" t="n">
        <v>1</v>
      </c>
      <c r="E108" t="n">
        <v>1</v>
      </c>
      <c r="F108" t="n">
        <v>3</v>
      </c>
      <c r="G108" t="n">
        <v>1</v>
      </c>
    </row>
    <row r="109">
      <c r="A109" t="n">
        <v>0</v>
      </c>
      <c r="B109" t="n">
        <v>1</v>
      </c>
      <c r="C109" t="n">
        <v>1</v>
      </c>
      <c r="D109" t="n">
        <v>1</v>
      </c>
      <c r="E109" t="n">
        <v>0</v>
      </c>
      <c r="F109" t="n">
        <v>2</v>
      </c>
      <c r="G109" t="n">
        <v>0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3</v>
      </c>
      <c r="G110" t="n">
        <v>1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2</v>
      </c>
      <c r="G111" t="n">
        <v>1</v>
      </c>
    </row>
    <row r="112">
      <c r="A112" t="n">
        <v>0</v>
      </c>
      <c r="B112" t="n">
        <v>1</v>
      </c>
      <c r="C112" t="n">
        <v>1</v>
      </c>
      <c r="D112" t="n">
        <v>1</v>
      </c>
      <c r="E112" t="n">
        <v>0</v>
      </c>
      <c r="F112" t="n">
        <v>2</v>
      </c>
      <c r="G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0</v>
      </c>
      <c r="F114" t="n">
        <v>2</v>
      </c>
      <c r="G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0</v>
      </c>
      <c r="F117" t="n">
        <v>2</v>
      </c>
      <c r="G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3</v>
      </c>
      <c r="G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3</v>
      </c>
      <c r="G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3</v>
      </c>
      <c r="G121" t="n">
        <v>0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3</v>
      </c>
      <c r="G122" t="n">
        <v>1</v>
      </c>
    </row>
    <row r="123">
      <c r="A123" t="n">
        <v>0</v>
      </c>
      <c r="B123" t="n">
        <v>0</v>
      </c>
      <c r="C123" t="n">
        <v>0</v>
      </c>
      <c r="D123" t="n">
        <v>1</v>
      </c>
      <c r="E123" t="n">
        <v>1</v>
      </c>
      <c r="F123" t="n">
        <v>3</v>
      </c>
      <c r="G123" t="n">
        <v>1</v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3</v>
      </c>
      <c r="G125" t="n">
        <v>1</v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n">
        <v>0</v>
      </c>
      <c r="B127" t="n">
        <v>1</v>
      </c>
      <c r="C127" t="n">
        <v>1</v>
      </c>
      <c r="D127" t="n">
        <v>1</v>
      </c>
      <c r="E127" t="n">
        <v>1</v>
      </c>
      <c r="F127" t="n">
        <v>3</v>
      </c>
      <c r="G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2</v>
      </c>
      <c r="G128" t="n">
        <v>1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</row>
    <row r="130">
      <c r="A130" t="n">
        <v>0</v>
      </c>
      <c r="B130" t="n">
        <v>1</v>
      </c>
      <c r="C130" t="n">
        <v>1</v>
      </c>
      <c r="D130" t="n">
        <v>1</v>
      </c>
      <c r="E130" t="n">
        <v>0</v>
      </c>
      <c r="F130" t="n">
        <v>2</v>
      </c>
      <c r="G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2</v>
      </c>
      <c r="G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2</v>
      </c>
      <c r="G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0</v>
      </c>
      <c r="F133" t="n">
        <v>2</v>
      </c>
      <c r="G133" t="n">
        <v>1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</row>
    <row r="135">
      <c r="A135" t="n">
        <v>1</v>
      </c>
      <c r="B135" t="n">
        <v>0</v>
      </c>
      <c r="C135" t="n">
        <v>2</v>
      </c>
      <c r="D135" t="n">
        <v>1</v>
      </c>
      <c r="E135" t="n">
        <v>0</v>
      </c>
      <c r="F135" t="n">
        <v>2</v>
      </c>
      <c r="G135" t="n">
        <v>0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3</v>
      </c>
      <c r="G137" t="n">
        <v>1</v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1</v>
      </c>
      <c r="F138" t="n">
        <v>3</v>
      </c>
      <c r="G138" t="n">
        <v>1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1</v>
      </c>
      <c r="F139" t="n">
        <v>3</v>
      </c>
      <c r="G139" t="n">
        <v>1</v>
      </c>
    </row>
    <row r="140">
      <c r="A140" t="n">
        <v>0</v>
      </c>
      <c r="B140" t="n">
        <v>1</v>
      </c>
      <c r="C140" t="n">
        <v>1</v>
      </c>
      <c r="D140" t="n">
        <v>1</v>
      </c>
      <c r="E140" t="n">
        <v>0</v>
      </c>
      <c r="F140" t="n">
        <v>2</v>
      </c>
      <c r="G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2</v>
      </c>
      <c r="G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3</v>
      </c>
      <c r="G142" t="n">
        <v>1</v>
      </c>
    </row>
    <row r="143">
      <c r="A143" t="n">
        <v>0</v>
      </c>
      <c r="B143" t="n">
        <v>0</v>
      </c>
      <c r="C143" t="n">
        <v>0</v>
      </c>
      <c r="D143" t="n">
        <v>1</v>
      </c>
      <c r="E143" t="n">
        <v>0</v>
      </c>
      <c r="F143" t="n">
        <v>2</v>
      </c>
      <c r="G143" t="n">
        <v>1</v>
      </c>
    </row>
    <row r="144">
      <c r="A144" t="n">
        <v>0</v>
      </c>
      <c r="B144" t="n">
        <v>1</v>
      </c>
      <c r="C144" t="n">
        <v>1</v>
      </c>
      <c r="D144" t="n">
        <v>1</v>
      </c>
      <c r="E144" t="n">
        <v>1</v>
      </c>
      <c r="F144" t="n">
        <v>3</v>
      </c>
      <c r="G144" t="n">
        <v>0</v>
      </c>
    </row>
    <row r="145">
      <c r="A145" t="n">
        <v>0</v>
      </c>
      <c r="B145" t="n">
        <v>1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2</v>
      </c>
      <c r="G146" t="n">
        <v>1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3</v>
      </c>
      <c r="G147" t="n">
        <v>1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3</v>
      </c>
      <c r="G148" t="n">
        <v>1</v>
      </c>
    </row>
    <row r="149">
      <c r="A149" t="n">
        <v>0</v>
      </c>
      <c r="B149" t="n">
        <v>0</v>
      </c>
      <c r="C149" t="n">
        <v>0</v>
      </c>
      <c r="D149" t="n">
        <v>1</v>
      </c>
      <c r="E149" t="n">
        <v>1</v>
      </c>
      <c r="F149" t="n">
        <v>3</v>
      </c>
      <c r="G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2</v>
      </c>
      <c r="G150" t="n">
        <v>1</v>
      </c>
    </row>
    <row r="151">
      <c r="A151" t="n">
        <v>0</v>
      </c>
      <c r="B151" t="n">
        <v>1</v>
      </c>
      <c r="C151" t="n">
        <v>1</v>
      </c>
      <c r="D151" t="n">
        <v>1</v>
      </c>
      <c r="E151" t="n">
        <v>1</v>
      </c>
      <c r="F151" t="n">
        <v>3</v>
      </c>
      <c r="G151" t="n">
        <v>1</v>
      </c>
    </row>
    <row r="152">
      <c r="A152" t="n">
        <v>1</v>
      </c>
      <c r="B152" t="n">
        <v>1</v>
      </c>
      <c r="C152" t="n">
        <v>0</v>
      </c>
      <c r="D152" t="n">
        <v>1</v>
      </c>
      <c r="E152" t="n">
        <v>1</v>
      </c>
      <c r="F152" t="n">
        <v>3</v>
      </c>
      <c r="G152" t="n">
        <v>1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2</v>
      </c>
      <c r="G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3</v>
      </c>
      <c r="G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1</v>
      </c>
      <c r="F156" t="n">
        <v>3</v>
      </c>
      <c r="G156" t="n">
        <v>1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0</v>
      </c>
      <c r="F158" t="n">
        <v>2</v>
      </c>
      <c r="G158" t="n">
        <v>1</v>
      </c>
    </row>
    <row r="159">
      <c r="A159" t="n">
        <v>1</v>
      </c>
      <c r="B159" t="n">
        <v>0</v>
      </c>
      <c r="C159" t="n">
        <v>2</v>
      </c>
      <c r="D159" t="n">
        <v>1</v>
      </c>
      <c r="E159" t="n">
        <v>1</v>
      </c>
      <c r="F159" t="n">
        <v>3</v>
      </c>
      <c r="G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</row>
    <row r="161">
      <c r="A161" t="n">
        <v>1</v>
      </c>
      <c r="B161" t="n">
        <v>0</v>
      </c>
      <c r="C161" t="n">
        <v>2</v>
      </c>
      <c r="D161" t="n">
        <v>1</v>
      </c>
      <c r="E161" t="n">
        <v>0</v>
      </c>
      <c r="F161" t="n">
        <v>2</v>
      </c>
      <c r="G161" t="n">
        <v>1</v>
      </c>
    </row>
    <row r="162">
      <c r="A162" t="n">
        <v>0</v>
      </c>
      <c r="B162" t="n">
        <v>0</v>
      </c>
      <c r="C162" t="n">
        <v>0</v>
      </c>
      <c r="D162" t="n">
        <v>1</v>
      </c>
      <c r="E162" t="n">
        <v>1</v>
      </c>
      <c r="F162" t="n">
        <v>3</v>
      </c>
      <c r="G162" t="n">
        <v>1</v>
      </c>
    </row>
    <row r="163">
      <c r="A163" t="n">
        <v>1</v>
      </c>
      <c r="B163" t="n">
        <v>0</v>
      </c>
      <c r="C163" t="n">
        <v>2</v>
      </c>
      <c r="D163" t="n">
        <v>1</v>
      </c>
      <c r="E163" t="n">
        <v>0</v>
      </c>
      <c r="F163" t="n">
        <v>2</v>
      </c>
      <c r="G163" t="n">
        <v>1</v>
      </c>
    </row>
    <row r="164">
      <c r="A164" t="n">
        <v>0</v>
      </c>
      <c r="B164" t="n">
        <v>0</v>
      </c>
      <c r="C164" t="n">
        <v>0</v>
      </c>
      <c r="D164" t="n">
        <v>1</v>
      </c>
      <c r="E164" t="n">
        <v>1</v>
      </c>
      <c r="F164" t="n">
        <v>3</v>
      </c>
      <c r="G164" t="n">
        <v>1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0</v>
      </c>
      <c r="F165" t="n">
        <v>2</v>
      </c>
      <c r="G165" t="n">
        <v>0</v>
      </c>
    </row>
    <row r="166">
      <c r="A166" t="n">
        <v>1</v>
      </c>
      <c r="B166" t="n">
        <v>0</v>
      </c>
      <c r="C166" t="n">
        <v>2</v>
      </c>
      <c r="D166" t="n">
        <v>1</v>
      </c>
      <c r="E166" t="n">
        <v>1</v>
      </c>
      <c r="F166" t="n">
        <v>3</v>
      </c>
      <c r="G166" t="n">
        <v>0</v>
      </c>
    </row>
    <row r="167">
      <c r="A167" t="n">
        <v>1</v>
      </c>
      <c r="B167" t="n">
        <v>1</v>
      </c>
      <c r="C167" t="n">
        <v>0</v>
      </c>
      <c r="D167" t="n">
        <v>1</v>
      </c>
      <c r="E167" t="n">
        <v>0</v>
      </c>
      <c r="F167" t="n">
        <v>2</v>
      </c>
      <c r="G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2</v>
      </c>
      <c r="G168" t="n">
        <v>1</v>
      </c>
    </row>
    <row r="169">
      <c r="A169" t="n">
        <v>0</v>
      </c>
      <c r="B169" t="n">
        <v>0</v>
      </c>
      <c r="C169" t="n">
        <v>0</v>
      </c>
      <c r="D169" t="n">
        <v>1</v>
      </c>
      <c r="E169" t="n">
        <v>0</v>
      </c>
      <c r="F169" t="n">
        <v>2</v>
      </c>
      <c r="G169" t="n">
        <v>1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1</v>
      </c>
      <c r="F170" t="n">
        <v>3</v>
      </c>
      <c r="G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</row>
    <row r="172">
      <c r="A172" t="n">
        <v>0</v>
      </c>
      <c r="B172" t="n">
        <v>0</v>
      </c>
      <c r="C172" t="n">
        <v>0</v>
      </c>
      <c r="D172" t="n">
        <v>1</v>
      </c>
      <c r="E172" t="n">
        <v>1</v>
      </c>
      <c r="F172" t="n">
        <v>3</v>
      </c>
      <c r="G172" t="n">
        <v>1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2</v>
      </c>
      <c r="G173" t="n">
        <v>1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2</v>
      </c>
      <c r="G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1</v>
      </c>
    </row>
    <row r="176">
      <c r="A176" t="n">
        <v>0</v>
      </c>
      <c r="B176" t="n">
        <v>1</v>
      </c>
      <c r="C176" t="n">
        <v>1</v>
      </c>
      <c r="D176" t="n">
        <v>1</v>
      </c>
      <c r="E176" t="n">
        <v>1</v>
      </c>
      <c r="F176" t="n">
        <v>3</v>
      </c>
      <c r="G176" t="n">
        <v>1</v>
      </c>
    </row>
    <row r="177">
      <c r="A177" t="n">
        <v>1</v>
      </c>
      <c r="B177" t="n">
        <v>1</v>
      </c>
      <c r="C177" t="n">
        <v>0</v>
      </c>
      <c r="D177" t="n">
        <v>1</v>
      </c>
      <c r="E177" t="n">
        <v>0</v>
      </c>
      <c r="F177" t="n">
        <v>2</v>
      </c>
      <c r="G177" t="n">
        <v>1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2</v>
      </c>
      <c r="G178" t="n">
        <v>1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0</v>
      </c>
      <c r="F179" t="n">
        <v>2</v>
      </c>
      <c r="G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0</v>
      </c>
      <c r="F180" t="n">
        <v>2</v>
      </c>
      <c r="G180" t="n">
        <v>1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</row>
    <row r="183">
      <c r="A183" t="n">
        <v>1</v>
      </c>
      <c r="B183" t="n">
        <v>1</v>
      </c>
      <c r="C183" t="n">
        <v>0</v>
      </c>
      <c r="D183" t="n">
        <v>1</v>
      </c>
      <c r="E183" t="n">
        <v>0</v>
      </c>
      <c r="F183" t="n">
        <v>2</v>
      </c>
      <c r="G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2</v>
      </c>
      <c r="G184" t="n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1</v>
      </c>
      <c r="G185" t="n">
        <v>1</v>
      </c>
    </row>
    <row r="186">
      <c r="A186" t="n">
        <v>0</v>
      </c>
      <c r="B186" t="n">
        <v>0</v>
      </c>
      <c r="C186" t="n">
        <v>0</v>
      </c>
      <c r="D186" t="n">
        <v>1</v>
      </c>
      <c r="E186" t="n">
        <v>0</v>
      </c>
      <c r="F186" t="n">
        <v>2</v>
      </c>
      <c r="G186" t="n">
        <v>0</v>
      </c>
    </row>
    <row r="187">
      <c r="A187" t="n">
        <v>1</v>
      </c>
      <c r="B187" t="n">
        <v>0</v>
      </c>
      <c r="C187" t="n">
        <v>2</v>
      </c>
      <c r="D187" t="n">
        <v>1</v>
      </c>
      <c r="E187" t="n">
        <v>0</v>
      </c>
      <c r="F187" t="n">
        <v>2</v>
      </c>
      <c r="G187" t="n">
        <v>1</v>
      </c>
    </row>
    <row r="188">
      <c r="A188" t="n">
        <v>1</v>
      </c>
      <c r="B188" t="n">
        <v>0</v>
      </c>
      <c r="C188" t="n">
        <v>2</v>
      </c>
      <c r="D188" t="n">
        <v>1</v>
      </c>
      <c r="E188" t="n">
        <v>0</v>
      </c>
      <c r="F188" t="n">
        <v>2</v>
      </c>
      <c r="G188" t="n">
        <v>1</v>
      </c>
    </row>
    <row r="189">
      <c r="A189" t="n">
        <v>0</v>
      </c>
      <c r="B189" t="n">
        <v>1</v>
      </c>
      <c r="C189" t="n">
        <v>1</v>
      </c>
      <c r="D189" t="n">
        <v>1</v>
      </c>
      <c r="E189" t="n">
        <v>0</v>
      </c>
      <c r="F189" t="n">
        <v>2</v>
      </c>
      <c r="G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0</v>
      </c>
      <c r="F190" t="n">
        <v>2</v>
      </c>
      <c r="G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2</v>
      </c>
      <c r="G191" t="n">
        <v>1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2</v>
      </c>
      <c r="G192" t="n">
        <v>1</v>
      </c>
    </row>
    <row r="193">
      <c r="A193" t="n">
        <v>0</v>
      </c>
      <c r="B193" t="n">
        <v>1</v>
      </c>
      <c r="C193" t="n">
        <v>1</v>
      </c>
      <c r="D193" t="n">
        <v>1</v>
      </c>
      <c r="E193" t="n">
        <v>1</v>
      </c>
      <c r="F193" t="n">
        <v>3</v>
      </c>
      <c r="G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0</v>
      </c>
      <c r="F194" t="n">
        <v>2</v>
      </c>
      <c r="G194" t="n">
        <v>1</v>
      </c>
    </row>
    <row r="195">
      <c r="A195" t="n">
        <v>0</v>
      </c>
      <c r="B195" t="n">
        <v>1</v>
      </c>
      <c r="C195" t="n">
        <v>1</v>
      </c>
      <c r="D195" t="n">
        <v>1</v>
      </c>
      <c r="E195" t="n">
        <v>0</v>
      </c>
      <c r="F195" t="n">
        <v>2</v>
      </c>
      <c r="G195" t="n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0</v>
      </c>
      <c r="F197" t="n">
        <v>2</v>
      </c>
      <c r="G197" t="n">
        <v>0</v>
      </c>
    </row>
    <row r="198">
      <c r="A198" t="n">
        <v>1</v>
      </c>
      <c r="B198" t="n">
        <v>0</v>
      </c>
      <c r="C198" t="n">
        <v>2</v>
      </c>
      <c r="D198" t="n">
        <v>1</v>
      </c>
      <c r="E198" t="n">
        <v>0</v>
      </c>
      <c r="F198" t="n">
        <v>2</v>
      </c>
      <c r="G198" t="n">
        <v>1</v>
      </c>
    </row>
    <row r="199">
      <c r="A199" t="n">
        <v>0</v>
      </c>
      <c r="B199" t="n">
        <v>0</v>
      </c>
      <c r="C199" t="n">
        <v>0</v>
      </c>
      <c r="D199" t="n">
        <v>1</v>
      </c>
      <c r="E199" t="n">
        <v>1</v>
      </c>
      <c r="F199" t="n">
        <v>3</v>
      </c>
      <c r="G199" t="n">
        <v>1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0</v>
      </c>
      <c r="F200" t="n">
        <v>2</v>
      </c>
      <c r="G200" t="n">
        <v>1</v>
      </c>
    </row>
    <row r="201">
      <c r="A201" t="n">
        <v>0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</row>
    <row r="203">
      <c r="A203" t="n">
        <v>0</v>
      </c>
      <c r="B203" t="n">
        <v>0</v>
      </c>
      <c r="C203" t="n">
        <v>0</v>
      </c>
      <c r="D203" t="n">
        <v>1</v>
      </c>
      <c r="E203" t="n">
        <v>0</v>
      </c>
      <c r="F203" t="n">
        <v>2</v>
      </c>
      <c r="G203" t="n">
        <v>1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2</v>
      </c>
      <c r="G204" t="n">
        <v>1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2</v>
      </c>
      <c r="G205" t="n">
        <v>1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3</v>
      </c>
      <c r="G206" t="n">
        <v>1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2</v>
      </c>
      <c r="G207" t="n">
        <v>1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0</v>
      </c>
    </row>
    <row r="210">
      <c r="A210" t="n">
        <v>1</v>
      </c>
      <c r="B210" t="n">
        <v>0</v>
      </c>
      <c r="C210" t="n">
        <v>2</v>
      </c>
      <c r="D210" t="n">
        <v>1</v>
      </c>
      <c r="E210" t="n">
        <v>0</v>
      </c>
      <c r="F210" t="n">
        <v>2</v>
      </c>
      <c r="G210" t="n">
        <v>1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</row>
    <row r="212">
      <c r="A212" t="n">
        <v>0</v>
      </c>
      <c r="B212" t="n">
        <v>0</v>
      </c>
      <c r="C212" t="n">
        <v>0</v>
      </c>
      <c r="D212" t="n">
        <v>1</v>
      </c>
      <c r="E212" t="n">
        <v>0</v>
      </c>
      <c r="F212" t="n">
        <v>2</v>
      </c>
      <c r="G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3</v>
      </c>
      <c r="G215" t="n">
        <v>1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3</v>
      </c>
      <c r="G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2</v>
      </c>
      <c r="G217" t="n">
        <v>1</v>
      </c>
    </row>
    <row r="218">
      <c r="A218" t="n">
        <v>0</v>
      </c>
      <c r="B218" t="n">
        <v>1</v>
      </c>
      <c r="C218" t="n">
        <v>1</v>
      </c>
      <c r="D218" t="n">
        <v>1</v>
      </c>
      <c r="E218" t="n">
        <v>1</v>
      </c>
      <c r="F218" t="n">
        <v>3</v>
      </c>
      <c r="G218" t="n">
        <v>1</v>
      </c>
    </row>
    <row r="219">
      <c r="A219" t="n">
        <v>1</v>
      </c>
      <c r="B219" t="n">
        <v>0</v>
      </c>
      <c r="C219" t="n">
        <v>2</v>
      </c>
      <c r="D219" t="n">
        <v>1</v>
      </c>
      <c r="E219" t="n">
        <v>0</v>
      </c>
      <c r="F219" t="n">
        <v>2</v>
      </c>
      <c r="G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3</v>
      </c>
      <c r="G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2</v>
      </c>
      <c r="G221" t="n">
        <v>1</v>
      </c>
    </row>
    <row r="222">
      <c r="A222" t="n">
        <v>1</v>
      </c>
      <c r="B222" t="n">
        <v>0</v>
      </c>
      <c r="C222" t="n">
        <v>2</v>
      </c>
      <c r="D222" t="n">
        <v>1</v>
      </c>
      <c r="E222" t="n">
        <v>1</v>
      </c>
      <c r="F222" t="n">
        <v>3</v>
      </c>
      <c r="G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2</v>
      </c>
      <c r="G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2</v>
      </c>
      <c r="G224" t="n">
        <v>1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0</v>
      </c>
      <c r="F225" t="n">
        <v>2</v>
      </c>
      <c r="G225" t="n">
        <v>1</v>
      </c>
    </row>
    <row r="226">
      <c r="A226" t="n">
        <v>1</v>
      </c>
      <c r="B226" t="n">
        <v>0</v>
      </c>
      <c r="C226" t="n">
        <v>2</v>
      </c>
      <c r="D226" t="n">
        <v>0</v>
      </c>
      <c r="E226" t="n">
        <v>1</v>
      </c>
      <c r="F226" t="n">
        <v>1</v>
      </c>
      <c r="G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2</v>
      </c>
      <c r="G227" t="n">
        <v>0</v>
      </c>
    </row>
    <row r="228">
      <c r="A228" t="n">
        <v>0</v>
      </c>
      <c r="B228" t="n">
        <v>0</v>
      </c>
      <c r="C228" t="n">
        <v>0</v>
      </c>
      <c r="D228" t="n">
        <v>1</v>
      </c>
      <c r="E228" t="n">
        <v>1</v>
      </c>
      <c r="F228" t="n">
        <v>3</v>
      </c>
      <c r="G228" t="n">
        <v>1</v>
      </c>
    </row>
    <row r="229">
      <c r="A229" t="n">
        <v>1</v>
      </c>
      <c r="B229" t="n">
        <v>0</v>
      </c>
      <c r="C229" t="n">
        <v>2</v>
      </c>
      <c r="D229" t="n">
        <v>1</v>
      </c>
      <c r="E229" t="n">
        <v>0</v>
      </c>
      <c r="F229" t="n">
        <v>2</v>
      </c>
      <c r="G229" t="n">
        <v>0</v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1</v>
      </c>
      <c r="F230" t="n">
        <v>3</v>
      </c>
      <c r="G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0</v>
      </c>
      <c r="F231" t="n">
        <v>2</v>
      </c>
      <c r="G231" t="n">
        <v>0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1</v>
      </c>
      <c r="F232" t="n">
        <v>3</v>
      </c>
      <c r="G232" t="n">
        <v>1</v>
      </c>
    </row>
    <row r="233">
      <c r="A233" t="n">
        <v>0</v>
      </c>
      <c r="B233" t="n">
        <v>1</v>
      </c>
      <c r="C233" t="n">
        <v>1</v>
      </c>
      <c r="D233" t="n">
        <v>1</v>
      </c>
      <c r="E233" t="n">
        <v>1</v>
      </c>
      <c r="F233" t="n">
        <v>3</v>
      </c>
      <c r="G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0</v>
      </c>
      <c r="F234" t="n">
        <v>2</v>
      </c>
      <c r="G234" t="n">
        <v>0</v>
      </c>
    </row>
    <row r="235">
      <c r="A235" t="n">
        <v>0</v>
      </c>
      <c r="B235" t="n">
        <v>1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</row>
    <row r="236">
      <c r="A236" t="n">
        <v>1</v>
      </c>
      <c r="B236" t="n">
        <v>0</v>
      </c>
      <c r="C236" t="n">
        <v>2</v>
      </c>
      <c r="D236" t="n">
        <v>1</v>
      </c>
      <c r="E236" t="n">
        <v>0</v>
      </c>
      <c r="F236" t="n">
        <v>2</v>
      </c>
      <c r="G236" t="n">
        <v>1</v>
      </c>
    </row>
    <row r="237">
      <c r="A237" t="n">
        <v>0</v>
      </c>
      <c r="B237" t="n">
        <v>0</v>
      </c>
      <c r="C237" t="n">
        <v>0</v>
      </c>
      <c r="D237" t="n">
        <v>1</v>
      </c>
      <c r="E237" t="n">
        <v>0</v>
      </c>
      <c r="F237" t="n">
        <v>2</v>
      </c>
      <c r="G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0</v>
      </c>
      <c r="F238" t="n">
        <v>2</v>
      </c>
      <c r="G238" t="n">
        <v>1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3</v>
      </c>
      <c r="G240" t="n">
        <v>0</v>
      </c>
    </row>
    <row r="241">
      <c r="A241" t="n">
        <v>1</v>
      </c>
      <c r="B241" t="n">
        <v>0</v>
      </c>
      <c r="C241" t="n">
        <v>2</v>
      </c>
      <c r="D241" t="n">
        <v>1</v>
      </c>
      <c r="E241" t="n">
        <v>1</v>
      </c>
      <c r="F241" t="n">
        <v>3</v>
      </c>
      <c r="G241" t="n">
        <v>1</v>
      </c>
    </row>
    <row r="242">
      <c r="A242" t="n">
        <v>1</v>
      </c>
      <c r="B242" t="n">
        <v>0</v>
      </c>
      <c r="C242" t="n">
        <v>2</v>
      </c>
      <c r="D242" t="n">
        <v>1</v>
      </c>
      <c r="E242" t="n">
        <v>1</v>
      </c>
      <c r="F242" t="n">
        <v>3</v>
      </c>
      <c r="G242" t="n">
        <v>1</v>
      </c>
    </row>
    <row r="243">
      <c r="A243" t="n">
        <v>0</v>
      </c>
      <c r="B243" t="n">
        <v>1</v>
      </c>
      <c r="C243" t="n">
        <v>1</v>
      </c>
      <c r="D243" t="n">
        <v>1</v>
      </c>
      <c r="E243" t="n">
        <v>0</v>
      </c>
      <c r="F243" t="n">
        <v>2</v>
      </c>
      <c r="G243" t="n">
        <v>1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3</v>
      </c>
      <c r="G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3</v>
      </c>
      <c r="G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0</v>
      </c>
      <c r="F246" t="n">
        <v>2</v>
      </c>
      <c r="G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2</v>
      </c>
      <c r="G247" t="n">
        <v>1</v>
      </c>
    </row>
    <row r="248">
      <c r="A248" t="n">
        <v>1</v>
      </c>
      <c r="B248" t="n">
        <v>0</v>
      </c>
      <c r="C248" t="n">
        <v>2</v>
      </c>
      <c r="D248" t="n">
        <v>1</v>
      </c>
      <c r="E248" t="n">
        <v>0</v>
      </c>
      <c r="F248" t="n">
        <v>2</v>
      </c>
      <c r="G248" t="n">
        <v>1</v>
      </c>
    </row>
    <row r="249">
      <c r="A249" t="n">
        <v>1</v>
      </c>
      <c r="B249" t="n">
        <v>1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</row>
    <row r="250">
      <c r="A250" t="n">
        <v>0</v>
      </c>
      <c r="B250" t="n">
        <v>0</v>
      </c>
      <c r="C250" t="n">
        <v>0</v>
      </c>
      <c r="D250" t="n">
        <v>1</v>
      </c>
      <c r="E250" t="n">
        <v>0</v>
      </c>
      <c r="F250" t="n">
        <v>2</v>
      </c>
      <c r="G250" t="n">
        <v>0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3</v>
      </c>
      <c r="G251" t="n">
        <v>1</v>
      </c>
    </row>
    <row r="252">
      <c r="A252" t="n">
        <v>1</v>
      </c>
      <c r="B252" t="n">
        <v>1</v>
      </c>
      <c r="C252" t="n">
        <v>0</v>
      </c>
      <c r="D252" t="n">
        <v>1</v>
      </c>
      <c r="E252" t="n">
        <v>1</v>
      </c>
      <c r="F252" t="n">
        <v>3</v>
      </c>
      <c r="G252" t="n">
        <v>1</v>
      </c>
    </row>
    <row r="253">
      <c r="A253" t="n">
        <v>0</v>
      </c>
      <c r="B253" t="n">
        <v>0</v>
      </c>
      <c r="C253" t="n">
        <v>0</v>
      </c>
      <c r="D253" t="n">
        <v>1</v>
      </c>
      <c r="E253" t="n">
        <v>0</v>
      </c>
      <c r="F253" t="n">
        <v>2</v>
      </c>
      <c r="G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3</v>
      </c>
      <c r="G254" t="n">
        <v>1</v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1</v>
      </c>
      <c r="F255" t="n">
        <v>3</v>
      </c>
      <c r="G255" t="n">
        <v>1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0</v>
      </c>
      <c r="F256" t="n">
        <v>2</v>
      </c>
      <c r="G256" t="n">
        <v>1</v>
      </c>
    </row>
    <row r="257">
      <c r="A257" t="n">
        <v>0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2</v>
      </c>
      <c r="G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1</v>
      </c>
      <c r="F259" t="n">
        <v>3</v>
      </c>
      <c r="G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1</v>
      </c>
      <c r="F261" t="n">
        <v>3</v>
      </c>
      <c r="G261" t="n">
        <v>1</v>
      </c>
    </row>
    <row r="262">
      <c r="A262" t="n">
        <v>0</v>
      </c>
      <c r="B262" t="n">
        <v>0</v>
      </c>
      <c r="C262" t="n">
        <v>0</v>
      </c>
      <c r="D262" t="n">
        <v>1</v>
      </c>
      <c r="E262" t="n">
        <v>1</v>
      </c>
      <c r="F262" t="n">
        <v>3</v>
      </c>
      <c r="G262" t="n">
        <v>1</v>
      </c>
    </row>
    <row r="263">
      <c r="A263" t="n">
        <v>0</v>
      </c>
      <c r="B263" t="n">
        <v>0</v>
      </c>
      <c r="C263" t="n">
        <v>0</v>
      </c>
      <c r="D263" t="n">
        <v>1</v>
      </c>
      <c r="E263" t="n">
        <v>1</v>
      </c>
      <c r="F263" t="n">
        <v>3</v>
      </c>
      <c r="G263" t="n">
        <v>1</v>
      </c>
    </row>
    <row r="264">
      <c r="A264" t="n">
        <v>0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2</v>
      </c>
      <c r="G265" t="n">
        <v>0</v>
      </c>
    </row>
    <row r="266">
      <c r="A266" t="n">
        <v>1</v>
      </c>
      <c r="B266" t="n">
        <v>0</v>
      </c>
      <c r="C266" t="n">
        <v>2</v>
      </c>
      <c r="D266" t="n">
        <v>1</v>
      </c>
      <c r="E266" t="n">
        <v>1</v>
      </c>
      <c r="F266" t="n">
        <v>3</v>
      </c>
      <c r="G266" t="n">
        <v>1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2</v>
      </c>
      <c r="G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0</v>
      </c>
      <c r="F268" t="n">
        <v>2</v>
      </c>
      <c r="G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3</v>
      </c>
      <c r="G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3</v>
      </c>
      <c r="G270" t="n">
        <v>1</v>
      </c>
    </row>
    <row r="271">
      <c r="A271" t="n">
        <v>1</v>
      </c>
      <c r="B271" t="n">
        <v>1</v>
      </c>
      <c r="C271" t="n">
        <v>0</v>
      </c>
      <c r="D271" t="n">
        <v>1</v>
      </c>
      <c r="E271" t="n">
        <v>0</v>
      </c>
      <c r="F271" t="n">
        <v>2</v>
      </c>
      <c r="G271" t="n">
        <v>1</v>
      </c>
    </row>
    <row r="272">
      <c r="A272" t="n">
        <v>0</v>
      </c>
      <c r="B272" t="n">
        <v>1</v>
      </c>
      <c r="C272" t="n">
        <v>1</v>
      </c>
      <c r="D272" t="n">
        <v>0</v>
      </c>
      <c r="E272" t="n">
        <v>1</v>
      </c>
      <c r="F272" t="n">
        <v>1</v>
      </c>
      <c r="G272" t="n">
        <v>0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3</v>
      </c>
      <c r="G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2</v>
      </c>
      <c r="G274" t="n">
        <v>1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</row>
    <row r="276">
      <c r="A276" t="n">
        <v>1</v>
      </c>
      <c r="B276" t="n">
        <v>0</v>
      </c>
      <c r="C276" t="n">
        <v>2</v>
      </c>
      <c r="D276" t="n">
        <v>1</v>
      </c>
      <c r="E276" t="n">
        <v>0</v>
      </c>
      <c r="F276" t="n">
        <v>2</v>
      </c>
      <c r="G276" t="n">
        <v>0</v>
      </c>
    </row>
    <row r="277">
      <c r="A277" t="n">
        <v>0</v>
      </c>
      <c r="B277" t="n">
        <v>0</v>
      </c>
      <c r="C277" t="n">
        <v>0</v>
      </c>
      <c r="D277" t="n">
        <v>1</v>
      </c>
      <c r="E277" t="n">
        <v>1</v>
      </c>
      <c r="F277" t="n">
        <v>3</v>
      </c>
      <c r="G277" t="n">
        <v>1</v>
      </c>
    </row>
    <row r="278">
      <c r="A278" t="n">
        <v>0</v>
      </c>
      <c r="B278" t="n">
        <v>0</v>
      </c>
      <c r="C278" t="n">
        <v>0</v>
      </c>
      <c r="D278" t="n">
        <v>1</v>
      </c>
      <c r="E278" t="n">
        <v>0</v>
      </c>
      <c r="F278" t="n">
        <v>2</v>
      </c>
      <c r="G278" t="n">
        <v>1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3</v>
      </c>
      <c r="G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3</v>
      </c>
      <c r="G281" t="n">
        <v>1</v>
      </c>
    </row>
    <row r="282">
      <c r="A282" t="n">
        <v>0</v>
      </c>
      <c r="B282" t="n">
        <v>0</v>
      </c>
      <c r="C282" t="n">
        <v>0</v>
      </c>
      <c r="D282" t="n">
        <v>1</v>
      </c>
      <c r="E282" t="n">
        <v>1</v>
      </c>
      <c r="F282" t="n">
        <v>3</v>
      </c>
      <c r="G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3</v>
      </c>
      <c r="G283" t="n">
        <v>1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1</v>
      </c>
      <c r="F284" t="n">
        <v>3</v>
      </c>
      <c r="G284" t="n">
        <v>1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1</v>
      </c>
      <c r="F285" t="n">
        <v>3</v>
      </c>
      <c r="G285" t="n">
        <v>1</v>
      </c>
    </row>
    <row r="286">
      <c r="A286" t="n">
        <v>0</v>
      </c>
      <c r="B286" t="n">
        <v>0</v>
      </c>
      <c r="C286" t="n">
        <v>0</v>
      </c>
      <c r="D286" t="n">
        <v>1</v>
      </c>
      <c r="E286" t="n">
        <v>0</v>
      </c>
      <c r="F286" t="n">
        <v>2</v>
      </c>
      <c r="G286" t="n">
        <v>1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2</v>
      </c>
      <c r="G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1</v>
      </c>
      <c r="F288" t="n">
        <v>3</v>
      </c>
      <c r="G288" t="n">
        <v>0</v>
      </c>
    </row>
    <row r="289">
      <c r="A289" t="n">
        <v>1</v>
      </c>
      <c r="B289" t="n">
        <v>0</v>
      </c>
      <c r="C289" t="n">
        <v>2</v>
      </c>
      <c r="D289" t="n">
        <v>1</v>
      </c>
      <c r="E289" t="n">
        <v>0</v>
      </c>
      <c r="F289" t="n">
        <v>2</v>
      </c>
      <c r="G289" t="n">
        <v>1</v>
      </c>
    </row>
    <row r="290">
      <c r="A290" t="n">
        <v>0</v>
      </c>
      <c r="B290" t="n">
        <v>0</v>
      </c>
      <c r="C290" t="n">
        <v>0</v>
      </c>
      <c r="D290" t="n">
        <v>1</v>
      </c>
      <c r="E290" t="n">
        <v>0</v>
      </c>
      <c r="F290" t="n">
        <v>2</v>
      </c>
      <c r="G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3</v>
      </c>
      <c r="G291" t="n">
        <v>1</v>
      </c>
    </row>
    <row r="292">
      <c r="A292" t="n">
        <v>1</v>
      </c>
      <c r="B292" t="n">
        <v>1</v>
      </c>
      <c r="C292" t="n">
        <v>0</v>
      </c>
      <c r="D292" t="n">
        <v>0</v>
      </c>
      <c r="E292" t="n">
        <v>1</v>
      </c>
      <c r="F292" t="n">
        <v>1</v>
      </c>
      <c r="G292" t="n">
        <v>1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3</v>
      </c>
      <c r="G294" t="n">
        <v>1</v>
      </c>
    </row>
    <row r="295">
      <c r="A295" t="n">
        <v>1</v>
      </c>
      <c r="B295" t="n">
        <v>1</v>
      </c>
      <c r="C295" t="n">
        <v>0</v>
      </c>
      <c r="D295" t="n">
        <v>1</v>
      </c>
      <c r="E295" t="n">
        <v>1</v>
      </c>
      <c r="F295" t="n">
        <v>3</v>
      </c>
      <c r="G295" t="n">
        <v>1</v>
      </c>
    </row>
    <row r="296">
      <c r="A296" t="n">
        <v>1</v>
      </c>
      <c r="B296" t="n">
        <v>0</v>
      </c>
      <c r="C296" t="n">
        <v>2</v>
      </c>
      <c r="D296" t="n">
        <v>1</v>
      </c>
      <c r="E296" t="n">
        <v>1</v>
      </c>
      <c r="F296" t="n">
        <v>3</v>
      </c>
      <c r="G296" t="n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1</v>
      </c>
      <c r="F297" t="n">
        <v>3</v>
      </c>
      <c r="G297" t="n">
        <v>1</v>
      </c>
    </row>
    <row r="298">
      <c r="A298" t="n">
        <v>0</v>
      </c>
      <c r="B298" t="n">
        <v>1</v>
      </c>
      <c r="C298" t="n">
        <v>1</v>
      </c>
      <c r="D298" t="n">
        <v>1</v>
      </c>
      <c r="E298" t="n">
        <v>1</v>
      </c>
      <c r="F298" t="n">
        <v>3</v>
      </c>
      <c r="G298" t="n">
        <v>1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1</v>
      </c>
      <c r="F299" t="n">
        <v>3</v>
      </c>
      <c r="G299" t="n">
        <v>1</v>
      </c>
    </row>
    <row r="300">
      <c r="A300" t="n">
        <v>1</v>
      </c>
      <c r="B300" t="n">
        <v>1</v>
      </c>
      <c r="C300" t="n">
        <v>0</v>
      </c>
      <c r="D300" t="n">
        <v>1</v>
      </c>
      <c r="E300" t="n">
        <v>0</v>
      </c>
      <c r="F300" t="n">
        <v>2</v>
      </c>
      <c r="G300" t="n">
        <v>1</v>
      </c>
    </row>
    <row r="301">
      <c r="A301" t="n">
        <v>0</v>
      </c>
      <c r="B301" t="n">
        <v>1</v>
      </c>
      <c r="C301" t="n">
        <v>1</v>
      </c>
      <c r="D301" t="n">
        <v>1</v>
      </c>
      <c r="E301" t="n">
        <v>1</v>
      </c>
      <c r="F301" t="n">
        <v>3</v>
      </c>
      <c r="G301" t="n">
        <v>1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0</v>
      </c>
      <c r="F302" t="n">
        <v>2</v>
      </c>
      <c r="G302" t="n">
        <v>1</v>
      </c>
    </row>
    <row r="303">
      <c r="A303" t="n">
        <v>0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2</v>
      </c>
      <c r="G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2</v>
      </c>
      <c r="G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2</v>
      </c>
      <c r="G306" t="n">
        <v>1</v>
      </c>
    </row>
    <row r="307">
      <c r="A307" t="n">
        <v>0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1</v>
      </c>
    </row>
    <row r="308">
      <c r="A308" t="n">
        <v>1</v>
      </c>
      <c r="B308" t="n">
        <v>0</v>
      </c>
      <c r="C308" t="n">
        <v>2</v>
      </c>
      <c r="D308" t="n">
        <v>1</v>
      </c>
      <c r="E308" t="n">
        <v>1</v>
      </c>
      <c r="F308" t="n">
        <v>3</v>
      </c>
      <c r="G308" t="n">
        <v>1</v>
      </c>
    </row>
    <row r="309">
      <c r="A309" t="n">
        <v>0</v>
      </c>
      <c r="B309" t="n">
        <v>1</v>
      </c>
      <c r="C309" t="n">
        <v>1</v>
      </c>
      <c r="D309" t="n">
        <v>1</v>
      </c>
      <c r="E309" t="n">
        <v>1</v>
      </c>
      <c r="F309" t="n">
        <v>3</v>
      </c>
      <c r="G309" t="n">
        <v>1</v>
      </c>
    </row>
    <row r="310">
      <c r="A310" t="n">
        <v>0</v>
      </c>
      <c r="B310" t="n">
        <v>0</v>
      </c>
      <c r="C310" t="n">
        <v>0</v>
      </c>
      <c r="D310" t="n">
        <v>1</v>
      </c>
      <c r="E310" t="n">
        <v>0</v>
      </c>
      <c r="F310" t="n">
        <v>2</v>
      </c>
      <c r="G310" t="n">
        <v>0</v>
      </c>
    </row>
    <row r="311">
      <c r="A311" t="n">
        <v>1</v>
      </c>
      <c r="B311" t="n">
        <v>0</v>
      </c>
      <c r="C311" t="n">
        <v>2</v>
      </c>
      <c r="D311" t="n">
        <v>1</v>
      </c>
      <c r="E311" t="n">
        <v>0</v>
      </c>
      <c r="F311" t="n">
        <v>2</v>
      </c>
      <c r="G311" t="n">
        <v>1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2</v>
      </c>
      <c r="G312" t="n">
        <v>1</v>
      </c>
    </row>
    <row r="313">
      <c r="A313" t="n">
        <v>0</v>
      </c>
      <c r="B313" t="n">
        <v>0</v>
      </c>
      <c r="C313" t="n">
        <v>0</v>
      </c>
      <c r="D313" t="n">
        <v>1</v>
      </c>
      <c r="E313" t="n">
        <v>0</v>
      </c>
      <c r="F313" t="n">
        <v>2</v>
      </c>
      <c r="G313" t="n">
        <v>0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3</v>
      </c>
      <c r="G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1</v>
      </c>
      <c r="F315" t="n">
        <v>3</v>
      </c>
      <c r="G315" t="n">
        <v>1</v>
      </c>
    </row>
    <row r="316">
      <c r="A316" t="n">
        <v>0</v>
      </c>
      <c r="B316" t="n">
        <v>0</v>
      </c>
      <c r="C316" t="n">
        <v>0</v>
      </c>
      <c r="D316" t="n">
        <v>1</v>
      </c>
      <c r="E316" t="n">
        <v>1</v>
      </c>
      <c r="F316" t="n">
        <v>3</v>
      </c>
      <c r="G316" t="n">
        <v>1</v>
      </c>
    </row>
    <row r="317">
      <c r="A317" t="n">
        <v>1</v>
      </c>
      <c r="B317" t="n">
        <v>0</v>
      </c>
      <c r="C317" t="n">
        <v>2</v>
      </c>
      <c r="D317" t="n">
        <v>1</v>
      </c>
      <c r="E317" t="n">
        <v>0</v>
      </c>
      <c r="F317" t="n">
        <v>2</v>
      </c>
      <c r="G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3</v>
      </c>
      <c r="G318" t="n">
        <v>1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2</v>
      </c>
      <c r="G319" t="n">
        <v>1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2</v>
      </c>
      <c r="G320" t="n">
        <v>0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2</v>
      </c>
      <c r="G321" t="n">
        <v>1</v>
      </c>
    </row>
    <row r="322">
      <c r="A322" t="n">
        <v>0</v>
      </c>
      <c r="B322" t="n">
        <v>0</v>
      </c>
      <c r="C322" t="n">
        <v>0</v>
      </c>
      <c r="D322" t="n">
        <v>1</v>
      </c>
      <c r="E322" t="n">
        <v>1</v>
      </c>
      <c r="F322" t="n">
        <v>3</v>
      </c>
      <c r="G322" t="n">
        <v>1</v>
      </c>
    </row>
    <row r="323">
      <c r="A323" t="n">
        <v>1</v>
      </c>
      <c r="B323" t="n">
        <v>1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</row>
    <row r="324">
      <c r="A324" t="n">
        <v>1</v>
      </c>
      <c r="B324" t="n">
        <v>0</v>
      </c>
      <c r="C324" t="n">
        <v>2</v>
      </c>
      <c r="D324" t="n">
        <v>1</v>
      </c>
      <c r="E324" t="n">
        <v>1</v>
      </c>
      <c r="F324" t="n">
        <v>3</v>
      </c>
      <c r="G324" t="n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1</v>
      </c>
      <c r="F325" t="n">
        <v>3</v>
      </c>
      <c r="G325" t="n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1</v>
      </c>
      <c r="F326" t="n">
        <v>3</v>
      </c>
      <c r="G326" t="n">
        <v>1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2</v>
      </c>
      <c r="G328" t="n">
        <v>1</v>
      </c>
    </row>
    <row r="329">
      <c r="A329" t="n">
        <v>1</v>
      </c>
      <c r="B329" t="n">
        <v>0</v>
      </c>
      <c r="C329" t="n">
        <v>2</v>
      </c>
      <c r="D329" t="n">
        <v>1</v>
      </c>
      <c r="E329" t="n">
        <v>0</v>
      </c>
      <c r="F329" t="n">
        <v>2</v>
      </c>
      <c r="G329" t="n">
        <v>1</v>
      </c>
    </row>
    <row r="330">
      <c r="A330" t="n">
        <v>0</v>
      </c>
      <c r="B330" t="n">
        <v>1</v>
      </c>
      <c r="C330" t="n">
        <v>1</v>
      </c>
      <c r="D330" t="n">
        <v>1</v>
      </c>
      <c r="E330" t="n">
        <v>0</v>
      </c>
      <c r="F330" t="n">
        <v>2</v>
      </c>
      <c r="G330" t="n">
        <v>1</v>
      </c>
    </row>
    <row r="331">
      <c r="A331" t="n">
        <v>0</v>
      </c>
      <c r="B331" t="n">
        <v>1</v>
      </c>
      <c r="C331" t="n">
        <v>1</v>
      </c>
      <c r="D331" t="n">
        <v>1</v>
      </c>
      <c r="E331" t="n">
        <v>1</v>
      </c>
      <c r="F331" t="n">
        <v>3</v>
      </c>
      <c r="G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0</v>
      </c>
      <c r="F332" t="n">
        <v>2</v>
      </c>
      <c r="G332" t="n">
        <v>0</v>
      </c>
    </row>
    <row r="333">
      <c r="A333" t="n">
        <v>0</v>
      </c>
      <c r="B333" t="n">
        <v>1</v>
      </c>
      <c r="C333" t="n">
        <v>1</v>
      </c>
      <c r="D333" t="n">
        <v>1</v>
      </c>
      <c r="E333" t="n">
        <v>1</v>
      </c>
      <c r="F333" t="n">
        <v>3</v>
      </c>
      <c r="G333" t="n">
        <v>0</v>
      </c>
    </row>
    <row r="334">
      <c r="A334" t="n">
        <v>1</v>
      </c>
      <c r="B334" t="n">
        <v>0</v>
      </c>
      <c r="C334" t="n">
        <v>2</v>
      </c>
      <c r="D334" t="n">
        <v>1</v>
      </c>
      <c r="E334" t="n">
        <v>0</v>
      </c>
      <c r="F334" t="n">
        <v>2</v>
      </c>
      <c r="G334" t="n">
        <v>1</v>
      </c>
    </row>
    <row r="335">
      <c r="A335" t="n">
        <v>1</v>
      </c>
      <c r="B335" t="n">
        <v>1</v>
      </c>
      <c r="C335" t="n">
        <v>0</v>
      </c>
      <c r="D335" t="n">
        <v>0</v>
      </c>
      <c r="E335" t="n">
        <v>1</v>
      </c>
      <c r="F335" t="n">
        <v>1</v>
      </c>
      <c r="G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3</v>
      </c>
      <c r="G336" t="n">
        <v>1</v>
      </c>
    </row>
    <row r="337">
      <c r="A337" t="n">
        <v>0</v>
      </c>
      <c r="B337" t="n">
        <v>0</v>
      </c>
      <c r="C337" t="n">
        <v>0</v>
      </c>
      <c r="D337" t="n">
        <v>1</v>
      </c>
      <c r="E337" t="n">
        <v>0</v>
      </c>
      <c r="F337" t="n">
        <v>2</v>
      </c>
      <c r="G337" t="n">
        <v>1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1</v>
      </c>
      <c r="G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2</v>
      </c>
      <c r="G339" t="n">
        <v>1</v>
      </c>
    </row>
    <row r="340">
      <c r="A340" t="n">
        <v>1</v>
      </c>
      <c r="B340" t="n">
        <v>1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</row>
    <row r="341">
      <c r="A341" t="n">
        <v>0</v>
      </c>
      <c r="B341" t="n">
        <v>0</v>
      </c>
      <c r="C341" t="n">
        <v>0</v>
      </c>
      <c r="D341" t="n">
        <v>1</v>
      </c>
      <c r="E341" t="n">
        <v>1</v>
      </c>
      <c r="F341" t="n">
        <v>3</v>
      </c>
      <c r="G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3</v>
      </c>
      <c r="G342" t="n">
        <v>1</v>
      </c>
    </row>
    <row r="343">
      <c r="A343" t="n">
        <v>1</v>
      </c>
      <c r="B343" t="n">
        <v>1</v>
      </c>
      <c r="C343" t="n">
        <v>0</v>
      </c>
      <c r="D343" t="n">
        <v>1</v>
      </c>
      <c r="E343" t="n">
        <v>1</v>
      </c>
      <c r="F343" t="n">
        <v>3</v>
      </c>
      <c r="G343" t="n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t="n">
        <v>1</v>
      </c>
      <c r="B345" t="n">
        <v>0</v>
      </c>
      <c r="C345" t="n">
        <v>2</v>
      </c>
      <c r="D345" t="n">
        <v>1</v>
      </c>
      <c r="E345" t="n">
        <v>1</v>
      </c>
      <c r="F345" t="n">
        <v>3</v>
      </c>
      <c r="G345" t="n">
        <v>0</v>
      </c>
    </row>
    <row r="346">
      <c r="A346" t="n">
        <v>0</v>
      </c>
      <c r="B346" t="n">
        <v>0</v>
      </c>
      <c r="C346" t="n">
        <v>0</v>
      </c>
      <c r="D346" t="n">
        <v>1</v>
      </c>
      <c r="E346" t="n">
        <v>1</v>
      </c>
      <c r="F346" t="n">
        <v>3</v>
      </c>
      <c r="G346" t="n">
        <v>1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0</v>
      </c>
      <c r="F347" t="n">
        <v>2</v>
      </c>
      <c r="G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</row>
    <row r="349">
      <c r="A349" t="n">
        <v>1</v>
      </c>
      <c r="B349" t="n">
        <v>0</v>
      </c>
      <c r="C349" t="n">
        <v>2</v>
      </c>
      <c r="D349" t="n">
        <v>1</v>
      </c>
      <c r="E349" t="n">
        <v>1</v>
      </c>
      <c r="F349" t="n">
        <v>3</v>
      </c>
      <c r="G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1</v>
      </c>
    </row>
    <row r="351">
      <c r="A351" t="n">
        <v>0</v>
      </c>
      <c r="B351" t="n">
        <v>1</v>
      </c>
      <c r="C351" t="n">
        <v>1</v>
      </c>
      <c r="D351" t="n">
        <v>1</v>
      </c>
      <c r="E351" t="n">
        <v>0</v>
      </c>
      <c r="F351" t="n">
        <v>2</v>
      </c>
      <c r="G351" t="n">
        <v>1</v>
      </c>
    </row>
    <row r="352">
      <c r="A352" t="n">
        <v>0</v>
      </c>
      <c r="B352" t="n">
        <v>0</v>
      </c>
      <c r="C352" t="n">
        <v>0</v>
      </c>
      <c r="D352" t="n">
        <v>1</v>
      </c>
      <c r="E352" t="n">
        <v>1</v>
      </c>
      <c r="F352" t="n">
        <v>3</v>
      </c>
      <c r="G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3</v>
      </c>
      <c r="G353" t="n">
        <v>1</v>
      </c>
    </row>
    <row r="354">
      <c r="A354" t="n">
        <v>0</v>
      </c>
      <c r="B354" t="n">
        <v>0</v>
      </c>
      <c r="C354" t="n">
        <v>0</v>
      </c>
      <c r="D354" t="n">
        <v>1</v>
      </c>
      <c r="E354" t="n">
        <v>0</v>
      </c>
      <c r="F354" t="n">
        <v>2</v>
      </c>
      <c r="G354" t="n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1</v>
      </c>
      <c r="F355" t="n">
        <v>3</v>
      </c>
      <c r="G355" t="n">
        <v>1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2</v>
      </c>
      <c r="G356" t="n">
        <v>1</v>
      </c>
    </row>
    <row r="357">
      <c r="A357" t="n">
        <v>0</v>
      </c>
      <c r="B357" t="n">
        <v>0</v>
      </c>
      <c r="C357" t="n">
        <v>0</v>
      </c>
      <c r="D357" t="n">
        <v>1</v>
      </c>
      <c r="E357" t="n">
        <v>0</v>
      </c>
      <c r="F357" t="n">
        <v>2</v>
      </c>
      <c r="G357" t="n">
        <v>1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3</v>
      </c>
      <c r="G358" t="n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3</v>
      </c>
      <c r="G360" t="n">
        <v>1</v>
      </c>
    </row>
    <row r="361">
      <c r="A361" t="n">
        <v>0</v>
      </c>
      <c r="B361" t="n">
        <v>1</v>
      </c>
      <c r="C361" t="n">
        <v>1</v>
      </c>
      <c r="D361" t="n">
        <v>1</v>
      </c>
      <c r="E361" t="n">
        <v>1</v>
      </c>
      <c r="F361" t="n">
        <v>3</v>
      </c>
      <c r="G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3</v>
      </c>
      <c r="G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0</v>
      </c>
      <c r="F364" t="n">
        <v>2</v>
      </c>
      <c r="G364" t="n">
        <v>1</v>
      </c>
    </row>
    <row r="365">
      <c r="A365" t="n">
        <v>1</v>
      </c>
      <c r="B365" t="n">
        <v>0</v>
      </c>
      <c r="C365" t="n">
        <v>2</v>
      </c>
      <c r="D365" t="n">
        <v>1</v>
      </c>
      <c r="E365" t="n">
        <v>0</v>
      </c>
      <c r="F365" t="n">
        <v>2</v>
      </c>
      <c r="G365" t="n">
        <v>1</v>
      </c>
    </row>
    <row r="366">
      <c r="A366" t="n">
        <v>1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1</v>
      </c>
    </row>
    <row r="367">
      <c r="A367" t="n">
        <v>0</v>
      </c>
      <c r="B367" t="n">
        <v>0</v>
      </c>
      <c r="C367" t="n">
        <v>0</v>
      </c>
      <c r="D367" t="n">
        <v>1</v>
      </c>
      <c r="E367" t="n">
        <v>1</v>
      </c>
      <c r="F367" t="n">
        <v>3</v>
      </c>
      <c r="G367" t="n">
        <v>1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0</v>
      </c>
      <c r="F368" t="n">
        <v>2</v>
      </c>
      <c r="G368" t="n">
        <v>1</v>
      </c>
    </row>
    <row r="369">
      <c r="A369" t="n">
        <v>1</v>
      </c>
      <c r="B369" t="n">
        <v>0</v>
      </c>
      <c r="C369" t="n">
        <v>2</v>
      </c>
      <c r="D369" t="n">
        <v>0</v>
      </c>
      <c r="E369" t="n">
        <v>0</v>
      </c>
      <c r="F369" t="n">
        <v>0</v>
      </c>
      <c r="G369" t="n">
        <v>0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3</v>
      </c>
      <c r="G370" t="n">
        <v>1</v>
      </c>
    </row>
    <row r="371">
      <c r="A371" t="n">
        <v>1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</row>
    <row r="372">
      <c r="A372" t="n">
        <v>0</v>
      </c>
      <c r="B372" t="n">
        <v>0</v>
      </c>
      <c r="C372" t="n">
        <v>0</v>
      </c>
      <c r="D372" t="n">
        <v>1</v>
      </c>
      <c r="E372" t="n">
        <v>1</v>
      </c>
      <c r="F372" t="n">
        <v>3</v>
      </c>
      <c r="G372" t="n">
        <v>1</v>
      </c>
    </row>
    <row r="373">
      <c r="A373" t="n">
        <v>1</v>
      </c>
      <c r="B373" t="n">
        <v>0</v>
      </c>
      <c r="C373" t="n">
        <v>2</v>
      </c>
      <c r="D373" t="n">
        <v>1</v>
      </c>
      <c r="E373" t="n">
        <v>1</v>
      </c>
      <c r="F373" t="n">
        <v>3</v>
      </c>
      <c r="G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3</v>
      </c>
      <c r="G374" t="n">
        <v>0</v>
      </c>
    </row>
    <row r="375">
      <c r="A375" t="n">
        <v>1</v>
      </c>
      <c r="B375" t="n">
        <v>1</v>
      </c>
      <c r="C375" t="n">
        <v>0</v>
      </c>
      <c r="D375" t="n">
        <v>0</v>
      </c>
      <c r="E375" t="n">
        <v>1</v>
      </c>
      <c r="F375" t="n">
        <v>1</v>
      </c>
      <c r="G375" t="n">
        <v>1</v>
      </c>
    </row>
    <row r="376">
      <c r="A376" t="n">
        <v>1</v>
      </c>
      <c r="B376" t="n">
        <v>0</v>
      </c>
      <c r="C376" t="n">
        <v>2</v>
      </c>
      <c r="D376" t="n">
        <v>0</v>
      </c>
      <c r="E376" t="n">
        <v>1</v>
      </c>
      <c r="F376" t="n">
        <v>1</v>
      </c>
      <c r="G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3</v>
      </c>
      <c r="G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2</v>
      </c>
      <c r="G378" t="n">
        <v>1</v>
      </c>
    </row>
    <row r="379">
      <c r="A379" t="n">
        <v>0</v>
      </c>
      <c r="B379" t="n">
        <v>1</v>
      </c>
      <c r="C379" t="n">
        <v>1</v>
      </c>
      <c r="D379" t="n">
        <v>1</v>
      </c>
      <c r="E379" t="n">
        <v>0</v>
      </c>
      <c r="F379" t="n">
        <v>2</v>
      </c>
      <c r="G379" t="n">
        <v>1</v>
      </c>
    </row>
    <row r="380">
      <c r="A380" t="n">
        <v>0</v>
      </c>
      <c r="B380" t="n">
        <v>1</v>
      </c>
      <c r="C380" t="n">
        <v>1</v>
      </c>
      <c r="D380" t="n">
        <v>1</v>
      </c>
      <c r="E380" t="n">
        <v>1</v>
      </c>
      <c r="F380" t="n">
        <v>3</v>
      </c>
      <c r="G380" t="n">
        <v>0</v>
      </c>
    </row>
    <row r="381">
      <c r="A381" t="n">
        <v>0</v>
      </c>
      <c r="B381" t="n">
        <v>1</v>
      </c>
      <c r="C381" t="n">
        <v>1</v>
      </c>
      <c r="D381" t="n">
        <v>1</v>
      </c>
      <c r="E381" t="n">
        <v>0</v>
      </c>
      <c r="F381" t="n">
        <v>2</v>
      </c>
      <c r="G381" t="n">
        <v>1</v>
      </c>
    </row>
    <row r="382">
      <c r="A382" t="n">
        <v>1</v>
      </c>
      <c r="B382" t="n">
        <v>0</v>
      </c>
      <c r="C382" t="n">
        <v>2</v>
      </c>
      <c r="D382" t="n">
        <v>1</v>
      </c>
      <c r="E382" t="n">
        <v>0</v>
      </c>
      <c r="F382" t="n">
        <v>2</v>
      </c>
      <c r="G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3</v>
      </c>
      <c r="G383" t="n">
        <v>1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0</v>
      </c>
      <c r="F384" t="n">
        <v>2</v>
      </c>
      <c r="G384" t="n">
        <v>1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3</v>
      </c>
      <c r="G387" t="n">
        <v>1</v>
      </c>
    </row>
    <row r="388">
      <c r="A388" t="n">
        <v>1</v>
      </c>
      <c r="B388" t="n">
        <v>0</v>
      </c>
      <c r="C388" t="n">
        <v>2</v>
      </c>
      <c r="D388" t="n">
        <v>1</v>
      </c>
      <c r="E388" t="n">
        <v>0</v>
      </c>
      <c r="F388" t="n">
        <v>2</v>
      </c>
      <c r="G388" t="n">
        <v>0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0</v>
      </c>
      <c r="F389" t="n">
        <v>2</v>
      </c>
      <c r="G389" t="n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0</v>
      </c>
      <c r="F390" t="n">
        <v>2</v>
      </c>
      <c r="G390" t="n">
        <v>1</v>
      </c>
    </row>
    <row r="391">
      <c r="A391" t="n">
        <v>0</v>
      </c>
      <c r="B391" t="n">
        <v>1</v>
      </c>
      <c r="C391" t="n">
        <v>1</v>
      </c>
      <c r="D391" t="n">
        <v>1</v>
      </c>
      <c r="E391" t="n">
        <v>0</v>
      </c>
      <c r="F391" t="n">
        <v>2</v>
      </c>
      <c r="G391" t="n">
        <v>1</v>
      </c>
    </row>
    <row r="392">
      <c r="A392" t="n">
        <v>0</v>
      </c>
      <c r="B392" t="n">
        <v>0</v>
      </c>
      <c r="C392" t="n">
        <v>0</v>
      </c>
      <c r="D392" t="n">
        <v>1</v>
      </c>
      <c r="E392" t="n">
        <v>1</v>
      </c>
      <c r="F392" t="n">
        <v>3</v>
      </c>
      <c r="G392" t="n">
        <v>1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1</v>
      </c>
      <c r="F394" t="n">
        <v>3</v>
      </c>
      <c r="G394" t="n">
        <v>1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1</v>
      </c>
      <c r="F395" t="n">
        <v>3</v>
      </c>
      <c r="G395" t="n">
        <v>1</v>
      </c>
    </row>
    <row r="396">
      <c r="A396" t="n">
        <v>1</v>
      </c>
      <c r="B396" t="n">
        <v>0</v>
      </c>
      <c r="C396" t="n">
        <v>2</v>
      </c>
      <c r="D396" t="n">
        <v>1</v>
      </c>
      <c r="E396" t="n">
        <v>0</v>
      </c>
      <c r="F396" t="n">
        <v>2</v>
      </c>
      <c r="G396" t="n">
        <v>1</v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1</v>
      </c>
      <c r="F397" t="n">
        <v>3</v>
      </c>
      <c r="G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2</v>
      </c>
      <c r="G398" t="n">
        <v>1</v>
      </c>
    </row>
    <row r="399">
      <c r="A399" t="n">
        <v>1</v>
      </c>
      <c r="B399" t="n">
        <v>1</v>
      </c>
      <c r="C399" t="n">
        <v>0</v>
      </c>
      <c r="D399" t="n">
        <v>1</v>
      </c>
      <c r="E399" t="n">
        <v>1</v>
      </c>
      <c r="F399" t="n">
        <v>3</v>
      </c>
      <c r="G399" t="n">
        <v>1</v>
      </c>
    </row>
    <row r="400">
      <c r="A400" t="n">
        <v>1</v>
      </c>
      <c r="B400" t="n">
        <v>1</v>
      </c>
      <c r="C400" t="n">
        <v>0</v>
      </c>
      <c r="D400" t="n">
        <v>1</v>
      </c>
      <c r="E400" t="n">
        <v>0</v>
      </c>
      <c r="F400" t="n">
        <v>2</v>
      </c>
      <c r="G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1</v>
      </c>
      <c r="F401" t="n">
        <v>3</v>
      </c>
      <c r="G401" t="n">
        <v>1</v>
      </c>
    </row>
    <row r="402">
      <c r="A402" t="n">
        <v>1</v>
      </c>
      <c r="B402" t="n">
        <v>1</v>
      </c>
      <c r="C402" t="n">
        <v>0</v>
      </c>
      <c r="D402" t="n">
        <v>1</v>
      </c>
      <c r="E402" t="n">
        <v>0</v>
      </c>
      <c r="F402" t="n">
        <v>2</v>
      </c>
      <c r="G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</row>
    <row r="404">
      <c r="A404" t="n">
        <v>0</v>
      </c>
      <c r="B404" t="n">
        <v>0</v>
      </c>
      <c r="C404" t="n">
        <v>0</v>
      </c>
      <c r="D404" t="n">
        <v>1</v>
      </c>
      <c r="E404" t="n">
        <v>0</v>
      </c>
      <c r="F404" t="n">
        <v>2</v>
      </c>
      <c r="G404" t="n">
        <v>1</v>
      </c>
    </row>
    <row r="405">
      <c r="A405" t="n">
        <v>0</v>
      </c>
      <c r="B405" t="n">
        <v>1</v>
      </c>
      <c r="C405" t="n">
        <v>1</v>
      </c>
      <c r="D405" t="n">
        <v>1</v>
      </c>
      <c r="E405" t="n">
        <v>1</v>
      </c>
      <c r="F405" t="n">
        <v>3</v>
      </c>
      <c r="G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3</v>
      </c>
      <c r="G406" t="n">
        <v>0</v>
      </c>
    </row>
    <row r="407">
      <c r="A407" t="n">
        <v>0</v>
      </c>
      <c r="B407" t="n">
        <v>0</v>
      </c>
      <c r="C407" t="n">
        <v>0</v>
      </c>
      <c r="D407" t="n">
        <v>1</v>
      </c>
      <c r="E407" t="n">
        <v>0</v>
      </c>
      <c r="F407" t="n">
        <v>2</v>
      </c>
      <c r="G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1</v>
      </c>
      <c r="B409" t="n">
        <v>0</v>
      </c>
      <c r="C409" t="n">
        <v>2</v>
      </c>
      <c r="D409" t="n">
        <v>1</v>
      </c>
      <c r="E409" t="n">
        <v>1</v>
      </c>
      <c r="F409" t="n">
        <v>3</v>
      </c>
      <c r="G409" t="n">
        <v>1</v>
      </c>
    </row>
    <row r="410">
      <c r="A410" t="n">
        <v>0</v>
      </c>
      <c r="B410" t="n">
        <v>0</v>
      </c>
      <c r="C410" t="n">
        <v>0</v>
      </c>
      <c r="D410" t="n">
        <v>1</v>
      </c>
      <c r="E410" t="n">
        <v>1</v>
      </c>
      <c r="F410" t="n">
        <v>3</v>
      </c>
      <c r="G410" t="n">
        <v>0</v>
      </c>
    </row>
    <row r="411">
      <c r="A411" t="n">
        <v>0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</row>
    <row r="412">
      <c r="A412" t="n">
        <v>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0</v>
      </c>
      <c r="F413" t="n">
        <v>2</v>
      </c>
      <c r="G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2</v>
      </c>
      <c r="G414" t="n">
        <v>1</v>
      </c>
    </row>
    <row r="415">
      <c r="A415" t="n">
        <v>0</v>
      </c>
      <c r="B415" t="n">
        <v>1</v>
      </c>
      <c r="C415" t="n">
        <v>1</v>
      </c>
      <c r="D415" t="n">
        <v>1</v>
      </c>
      <c r="E415" t="n">
        <v>1</v>
      </c>
      <c r="F415" t="n">
        <v>3</v>
      </c>
      <c r="G415" t="n">
        <v>1</v>
      </c>
    </row>
    <row r="416">
      <c r="A416" t="n">
        <v>1</v>
      </c>
      <c r="B416" t="n">
        <v>1</v>
      </c>
      <c r="C416" t="n">
        <v>0</v>
      </c>
      <c r="D416" t="n">
        <v>0</v>
      </c>
      <c r="E416" t="n">
        <v>0</v>
      </c>
      <c r="F416" t="n">
        <v>0</v>
      </c>
      <c r="G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0</v>
      </c>
      <c r="F418" t="n">
        <v>2</v>
      </c>
      <c r="G418" t="n">
        <v>1</v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1</v>
      </c>
      <c r="F419" t="n">
        <v>3</v>
      </c>
      <c r="G419" t="n">
        <v>1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2</v>
      </c>
      <c r="G420" t="n">
        <v>0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2</v>
      </c>
      <c r="G421" t="n">
        <v>1</v>
      </c>
    </row>
    <row r="422">
      <c r="A422" t="n">
        <v>1</v>
      </c>
      <c r="B422" t="n">
        <v>0</v>
      </c>
      <c r="C422" t="n">
        <v>2</v>
      </c>
      <c r="D422" t="n">
        <v>1</v>
      </c>
      <c r="E422" t="n">
        <v>0</v>
      </c>
      <c r="F422" t="n">
        <v>2</v>
      </c>
      <c r="G422" t="n">
        <v>1</v>
      </c>
    </row>
    <row r="423">
      <c r="A423" t="n">
        <v>0</v>
      </c>
      <c r="B423" t="n">
        <v>0</v>
      </c>
      <c r="C423" t="n">
        <v>0</v>
      </c>
      <c r="D423" t="n">
        <v>1</v>
      </c>
      <c r="E423" t="n">
        <v>1</v>
      </c>
      <c r="F423" t="n">
        <v>3</v>
      </c>
      <c r="G423" t="n">
        <v>1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2</v>
      </c>
      <c r="G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3</v>
      </c>
      <c r="G425" t="n">
        <v>1</v>
      </c>
    </row>
    <row r="426">
      <c r="A426" t="n">
        <v>0</v>
      </c>
      <c r="B426" t="n">
        <v>0</v>
      </c>
      <c r="C426" t="n">
        <v>0</v>
      </c>
      <c r="D426" t="n">
        <v>1</v>
      </c>
      <c r="E426" t="n">
        <v>0</v>
      </c>
      <c r="F426" t="n">
        <v>2</v>
      </c>
      <c r="G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0</v>
      </c>
      <c r="F427" t="n">
        <v>2</v>
      </c>
      <c r="G427" t="n">
        <v>0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</row>
    <row r="429">
      <c r="A429" t="n">
        <v>0</v>
      </c>
      <c r="B429" t="n">
        <v>1</v>
      </c>
      <c r="C429" t="n">
        <v>1</v>
      </c>
      <c r="D429" t="n">
        <v>0</v>
      </c>
      <c r="E429" t="n">
        <v>1</v>
      </c>
      <c r="F429" t="n">
        <v>1</v>
      </c>
      <c r="G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1</v>
      </c>
      <c r="G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2</v>
      </c>
      <c r="G432" t="n">
        <v>1</v>
      </c>
    </row>
    <row r="433">
      <c r="A433" t="n">
        <v>0</v>
      </c>
      <c r="B433" t="n">
        <v>0</v>
      </c>
      <c r="C433" t="n">
        <v>0</v>
      </c>
      <c r="D433" t="n">
        <v>1</v>
      </c>
      <c r="E433" t="n">
        <v>0</v>
      </c>
      <c r="F433" t="n">
        <v>2</v>
      </c>
      <c r="G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0</v>
      </c>
      <c r="F436" t="n">
        <v>2</v>
      </c>
      <c r="G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3</v>
      </c>
      <c r="G437" t="n">
        <v>0</v>
      </c>
    </row>
    <row r="438">
      <c r="A438" t="n">
        <v>1</v>
      </c>
      <c r="B438" t="n">
        <v>1</v>
      </c>
      <c r="C438" t="n">
        <v>0</v>
      </c>
      <c r="D438" t="n">
        <v>1</v>
      </c>
      <c r="E438" t="n">
        <v>0</v>
      </c>
      <c r="F438" t="n">
        <v>2</v>
      </c>
      <c r="G438" t="n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3</v>
      </c>
      <c r="G439" t="n">
        <v>1</v>
      </c>
    </row>
    <row r="440">
      <c r="A440" t="n">
        <v>0</v>
      </c>
      <c r="B440" t="n">
        <v>0</v>
      </c>
      <c r="C440" t="n">
        <v>0</v>
      </c>
      <c r="D440" t="n">
        <v>1</v>
      </c>
      <c r="E440" t="n">
        <v>1</v>
      </c>
      <c r="F440" t="n">
        <v>3</v>
      </c>
      <c r="G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1</v>
      </c>
    </row>
    <row r="443">
      <c r="A443" t="n">
        <v>1</v>
      </c>
      <c r="B443" t="n">
        <v>1</v>
      </c>
      <c r="C443" t="n">
        <v>0</v>
      </c>
      <c r="D443" t="n">
        <v>1</v>
      </c>
      <c r="E443" t="n">
        <v>1</v>
      </c>
      <c r="F443" t="n">
        <v>3</v>
      </c>
      <c r="G443" t="n">
        <v>1</v>
      </c>
    </row>
    <row r="444">
      <c r="A444" t="n">
        <v>1</v>
      </c>
      <c r="B444" t="n">
        <v>0</v>
      </c>
      <c r="C444" t="n">
        <v>2</v>
      </c>
      <c r="D444" t="n">
        <v>0</v>
      </c>
      <c r="E444" t="n">
        <v>0</v>
      </c>
      <c r="F444" t="n">
        <v>0</v>
      </c>
      <c r="G444" t="n">
        <v>1</v>
      </c>
    </row>
    <row r="445">
      <c r="A445" t="n">
        <v>0</v>
      </c>
      <c r="B445" t="n">
        <v>0</v>
      </c>
      <c r="C445" t="n">
        <v>0</v>
      </c>
      <c r="D445" t="n">
        <v>1</v>
      </c>
      <c r="E445" t="n">
        <v>0</v>
      </c>
      <c r="F445" t="n">
        <v>2</v>
      </c>
      <c r="G445" t="n">
        <v>1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3</v>
      </c>
      <c r="G446" t="n">
        <v>1</v>
      </c>
    </row>
    <row r="447">
      <c r="A447" t="n">
        <v>1</v>
      </c>
      <c r="B447" t="n">
        <v>0</v>
      </c>
      <c r="C447" t="n">
        <v>2</v>
      </c>
      <c r="D447" t="n">
        <v>1</v>
      </c>
      <c r="E447" t="n">
        <v>1</v>
      </c>
      <c r="F447" t="n">
        <v>3</v>
      </c>
      <c r="G447" t="n">
        <v>1</v>
      </c>
    </row>
    <row r="448">
      <c r="A448" t="n">
        <v>1</v>
      </c>
      <c r="B448" t="n">
        <v>0</v>
      </c>
      <c r="C448" t="n">
        <v>2</v>
      </c>
      <c r="D448" t="n">
        <v>1</v>
      </c>
      <c r="E448" t="n">
        <v>0</v>
      </c>
      <c r="F448" t="n">
        <v>2</v>
      </c>
      <c r="G448" t="n">
        <v>0</v>
      </c>
    </row>
    <row r="449">
      <c r="A449" t="n">
        <v>1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</row>
    <row r="450">
      <c r="A450" t="n">
        <v>0</v>
      </c>
      <c r="B450" t="n">
        <v>1</v>
      </c>
      <c r="C450" t="n">
        <v>1</v>
      </c>
      <c r="D450" t="n">
        <v>1</v>
      </c>
      <c r="E450" t="n">
        <v>1</v>
      </c>
      <c r="F450" t="n">
        <v>3</v>
      </c>
      <c r="G450" t="n">
        <v>0</v>
      </c>
    </row>
    <row r="451">
      <c r="A451" t="n">
        <v>0</v>
      </c>
      <c r="B451" t="n">
        <v>0</v>
      </c>
      <c r="C451" t="n">
        <v>0</v>
      </c>
      <c r="D451" t="n">
        <v>1</v>
      </c>
      <c r="E451" t="n">
        <v>1</v>
      </c>
      <c r="F451" t="n">
        <v>3</v>
      </c>
      <c r="G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0</v>
      </c>
      <c r="F452" t="n">
        <v>2</v>
      </c>
      <c r="G452" t="n">
        <v>1</v>
      </c>
    </row>
    <row r="453">
      <c r="A453" t="n">
        <v>0</v>
      </c>
      <c r="B453" t="n">
        <v>0</v>
      </c>
      <c r="C453" t="n">
        <v>0</v>
      </c>
      <c r="D453" t="n">
        <v>1</v>
      </c>
      <c r="E453" t="n">
        <v>0</v>
      </c>
      <c r="F453" t="n">
        <v>2</v>
      </c>
      <c r="G453" t="n">
        <v>1</v>
      </c>
    </row>
    <row r="454">
      <c r="A454" t="n">
        <v>1</v>
      </c>
      <c r="B454" t="n">
        <v>0</v>
      </c>
      <c r="C454" t="n">
        <v>2</v>
      </c>
      <c r="D454" t="n">
        <v>1</v>
      </c>
      <c r="E454" t="n">
        <v>0</v>
      </c>
      <c r="F454" t="n">
        <v>2</v>
      </c>
      <c r="G454" t="n">
        <v>0</v>
      </c>
    </row>
    <row r="455">
      <c r="A455" t="n">
        <v>0</v>
      </c>
      <c r="B455" t="n">
        <v>1</v>
      </c>
      <c r="C455" t="n">
        <v>1</v>
      </c>
      <c r="D455" t="n">
        <v>1</v>
      </c>
      <c r="E455" t="n">
        <v>1</v>
      </c>
      <c r="F455" t="n">
        <v>3</v>
      </c>
      <c r="G455" t="n">
        <v>0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1</v>
      </c>
      <c r="F456" t="n">
        <v>3</v>
      </c>
      <c r="G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3</v>
      </c>
      <c r="G457" t="n">
        <v>0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2</v>
      </c>
      <c r="G458" t="n">
        <v>1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3</v>
      </c>
      <c r="G459" t="n">
        <v>1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0</v>
      </c>
      <c r="F460" t="n">
        <v>2</v>
      </c>
      <c r="G460" t="n">
        <v>1</v>
      </c>
    </row>
    <row r="461">
      <c r="A461" t="n">
        <v>1</v>
      </c>
      <c r="B461" t="n">
        <v>0</v>
      </c>
      <c r="C461" t="n">
        <v>2</v>
      </c>
      <c r="D461" t="n">
        <v>1</v>
      </c>
      <c r="E461" t="n">
        <v>0</v>
      </c>
      <c r="F461" t="n">
        <v>2</v>
      </c>
      <c r="G461" t="n">
        <v>1</v>
      </c>
    </row>
    <row r="462">
      <c r="A462" t="n">
        <v>1</v>
      </c>
      <c r="B462" t="n">
        <v>0</v>
      </c>
      <c r="C462" t="n">
        <v>2</v>
      </c>
      <c r="D462" t="n">
        <v>1</v>
      </c>
      <c r="E462" t="n">
        <v>0</v>
      </c>
      <c r="F462" t="n">
        <v>2</v>
      </c>
      <c r="G462" t="n">
        <v>1</v>
      </c>
    </row>
    <row r="463">
      <c r="A463" t="n">
        <v>0</v>
      </c>
      <c r="B463" t="n">
        <v>0</v>
      </c>
      <c r="C463" t="n">
        <v>0</v>
      </c>
      <c r="D463" t="n">
        <v>1</v>
      </c>
      <c r="E463" t="n">
        <v>1</v>
      </c>
      <c r="F463" t="n">
        <v>3</v>
      </c>
      <c r="G463" t="n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2</v>
      </c>
      <c r="G464" t="n">
        <v>1</v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2</v>
      </c>
      <c r="G465" t="n">
        <v>0</v>
      </c>
    </row>
    <row r="466">
      <c r="A466" t="n">
        <v>0</v>
      </c>
      <c r="B466" t="n">
        <v>0</v>
      </c>
      <c r="C466" t="n">
        <v>0</v>
      </c>
      <c r="D466" t="n">
        <v>1</v>
      </c>
      <c r="E466" t="n">
        <v>0</v>
      </c>
      <c r="F466" t="n">
        <v>2</v>
      </c>
      <c r="G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2</v>
      </c>
      <c r="G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3</v>
      </c>
      <c r="G468" t="n">
        <v>0</v>
      </c>
    </row>
    <row r="469">
      <c r="A469" t="n">
        <v>1</v>
      </c>
      <c r="B469" t="n">
        <v>0</v>
      </c>
      <c r="C469" t="n">
        <v>2</v>
      </c>
      <c r="D469" t="n">
        <v>1</v>
      </c>
      <c r="E469" t="n">
        <v>0</v>
      </c>
      <c r="F469" t="n">
        <v>2</v>
      </c>
      <c r="G469" t="n">
        <v>1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2</v>
      </c>
      <c r="G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1</v>
      </c>
      <c r="F471" t="n">
        <v>3</v>
      </c>
      <c r="G471" t="n">
        <v>0</v>
      </c>
    </row>
    <row r="472">
      <c r="A472" t="n">
        <v>0</v>
      </c>
      <c r="B472" t="n">
        <v>1</v>
      </c>
      <c r="C472" t="n">
        <v>1</v>
      </c>
      <c r="D472" t="n">
        <v>1</v>
      </c>
      <c r="E472" t="n">
        <v>1</v>
      </c>
      <c r="F472" t="n">
        <v>3</v>
      </c>
      <c r="G472" t="n">
        <v>1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2</v>
      </c>
      <c r="G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3</v>
      </c>
      <c r="G474" t="n">
        <v>1</v>
      </c>
    </row>
    <row r="475">
      <c r="A475" t="n">
        <v>1</v>
      </c>
      <c r="B475" t="n">
        <v>0</v>
      </c>
      <c r="C475" t="n">
        <v>2</v>
      </c>
      <c r="D475" t="n">
        <v>1</v>
      </c>
      <c r="E475" t="n">
        <v>1</v>
      </c>
      <c r="F475" t="n">
        <v>3</v>
      </c>
      <c r="G475" t="n">
        <v>1</v>
      </c>
    </row>
    <row r="476">
      <c r="A476" t="n">
        <v>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1</v>
      </c>
    </row>
    <row r="477">
      <c r="A477" t="n">
        <v>1</v>
      </c>
      <c r="B477" t="n">
        <v>0</v>
      </c>
      <c r="C477" t="n">
        <v>2</v>
      </c>
      <c r="D477" t="n">
        <v>1</v>
      </c>
      <c r="E477" t="n">
        <v>0</v>
      </c>
      <c r="F477" t="n">
        <v>2</v>
      </c>
      <c r="G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0</v>
      </c>
      <c r="F478" t="n">
        <v>2</v>
      </c>
      <c r="G478" t="n">
        <v>1</v>
      </c>
    </row>
    <row r="479">
      <c r="A479" t="n">
        <v>1</v>
      </c>
      <c r="B479" t="n">
        <v>0</v>
      </c>
      <c r="C479" t="n">
        <v>2</v>
      </c>
      <c r="D479" t="n">
        <v>0</v>
      </c>
      <c r="E479" t="n">
        <v>0</v>
      </c>
      <c r="F479" t="n">
        <v>0</v>
      </c>
      <c r="G479" t="n">
        <v>1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3</v>
      </c>
      <c r="G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3</v>
      </c>
      <c r="G481" t="n">
        <v>1</v>
      </c>
    </row>
    <row r="482">
      <c r="A482" t="n">
        <v>0</v>
      </c>
      <c r="B482" t="n">
        <v>1</v>
      </c>
      <c r="C482" t="n">
        <v>1</v>
      </c>
      <c r="D482" t="n">
        <v>1</v>
      </c>
      <c r="E482" t="n">
        <v>0</v>
      </c>
      <c r="F482" t="n">
        <v>2</v>
      </c>
      <c r="G482" t="n">
        <v>1</v>
      </c>
    </row>
    <row r="483">
      <c r="A483" t="n">
        <v>1</v>
      </c>
      <c r="B483" t="n">
        <v>0</v>
      </c>
      <c r="C483" t="n">
        <v>2</v>
      </c>
      <c r="D483" t="n">
        <v>1</v>
      </c>
      <c r="E483" t="n">
        <v>1</v>
      </c>
      <c r="F483" t="n">
        <v>3</v>
      </c>
      <c r="G483" t="n">
        <v>0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3</v>
      </c>
      <c r="G484" t="n">
        <v>1</v>
      </c>
    </row>
    <row r="485">
      <c r="A485" t="n">
        <v>0</v>
      </c>
      <c r="B485" t="n">
        <v>0</v>
      </c>
      <c r="C485" t="n">
        <v>0</v>
      </c>
      <c r="D485" t="n">
        <v>1</v>
      </c>
      <c r="E485" t="n">
        <v>0</v>
      </c>
      <c r="F485" t="n">
        <v>2</v>
      </c>
      <c r="G485" t="n">
        <v>1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3</v>
      </c>
      <c r="G486" t="n">
        <v>1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1</v>
      </c>
      <c r="F487" t="n">
        <v>3</v>
      </c>
      <c r="G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1</v>
      </c>
      <c r="F489" t="n">
        <v>3</v>
      </c>
      <c r="G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1</v>
      </c>
    </row>
    <row r="491">
      <c r="A491" t="n">
        <v>0</v>
      </c>
      <c r="B491" t="n">
        <v>0</v>
      </c>
      <c r="C491" t="n">
        <v>0</v>
      </c>
      <c r="D491" t="n">
        <v>1</v>
      </c>
      <c r="E491" t="n">
        <v>1</v>
      </c>
      <c r="F491" t="n">
        <v>3</v>
      </c>
      <c r="G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2</v>
      </c>
      <c r="G492" t="n">
        <v>1</v>
      </c>
    </row>
    <row r="493">
      <c r="A493" t="n">
        <v>1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1</v>
      </c>
      <c r="F494" t="n">
        <v>3</v>
      </c>
      <c r="G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1</v>
      </c>
      <c r="F495" t="n">
        <v>1</v>
      </c>
      <c r="G495" t="n">
        <v>0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</row>
    <row r="497">
      <c r="A497" t="n">
        <v>1</v>
      </c>
      <c r="B497" t="n">
        <v>0</v>
      </c>
      <c r="C497" t="n">
        <v>2</v>
      </c>
      <c r="D497" t="n">
        <v>1</v>
      </c>
      <c r="E497" t="n">
        <v>0</v>
      </c>
      <c r="F497" t="n">
        <v>2</v>
      </c>
      <c r="G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0</v>
      </c>
      <c r="F498" t="n">
        <v>2</v>
      </c>
      <c r="G498" t="n">
        <v>1</v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3</v>
      </c>
      <c r="G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0</v>
      </c>
      <c r="F500" t="n">
        <v>2</v>
      </c>
      <c r="G500" t="n">
        <v>1</v>
      </c>
    </row>
    <row r="501">
      <c r="A501" t="n">
        <v>0</v>
      </c>
      <c r="B501" t="n">
        <v>1</v>
      </c>
      <c r="C501" t="n">
        <v>1</v>
      </c>
      <c r="D501" t="n">
        <v>1</v>
      </c>
      <c r="E501" t="n">
        <v>1</v>
      </c>
      <c r="F501" t="n">
        <v>3</v>
      </c>
      <c r="G501" t="n">
        <v>1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</row>
    <row r="503">
      <c r="A503" t="n">
        <v>0</v>
      </c>
      <c r="B503" t="n">
        <v>0</v>
      </c>
      <c r="C503" t="n">
        <v>0</v>
      </c>
      <c r="D503" t="n">
        <v>1</v>
      </c>
      <c r="E503" t="n">
        <v>0</v>
      </c>
      <c r="F503" t="n">
        <v>2</v>
      </c>
      <c r="G50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CÁLCULOS MI — Dataset B</t>
        </is>
      </c>
    </row>
    <row r="2">
      <c r="A2" s="2" t="inlineStr">
        <is>
          <t>N =</t>
        </is>
      </c>
      <c r="B2" s="3" t="n">
        <v>502</v>
      </c>
    </row>
    <row r="4">
      <c r="A4" s="4" t="inlineStr">
        <is>
          <t>x1 — x2</t>
        </is>
      </c>
      <c r="B4" s="26" t="n"/>
      <c r="C4" s="26" t="n"/>
      <c r="D4" s="26" t="n"/>
      <c r="E4" s="26" t="n"/>
      <c r="F4" s="26" t="n"/>
      <c r="G4" s="26" t="n"/>
      <c r="H4" s="26" t="n"/>
      <c r="I4" s="26" t="n"/>
      <c r="J4" s="27" t="n"/>
    </row>
    <row r="5">
      <c r="A5" s="6" t="inlineStr">
        <is>
          <t>x1</t>
        </is>
      </c>
      <c r="B5" s="6" t="inlineStr">
        <is>
          <t>x2</t>
        </is>
      </c>
      <c r="C5" s="6" t="inlineStr">
        <is>
          <t>freq</t>
        </is>
      </c>
      <c r="D5" s="6" t="inlineStr">
        <is>
          <t>p(x1,x2)</t>
        </is>
      </c>
      <c r="E5" s="6" t="inlineStr">
        <is>
          <t>p(x1)</t>
        </is>
      </c>
      <c r="F5" s="6" t="inlineStr">
        <is>
          <t>p(x2)</t>
        </is>
      </c>
      <c r="G5" s="6" t="inlineStr">
        <is>
          <t>p(a)·p(b)</t>
        </is>
      </c>
      <c r="H5" s="6" t="inlineStr">
        <is>
          <t>ratio</t>
        </is>
      </c>
      <c r="I5" s="6" t="inlineStr">
        <is>
          <t>log₂(ratio)</t>
        </is>
      </c>
      <c r="J5" s="6" t="inlineStr">
        <is>
          <t>p·log₂(ratio)</t>
        </is>
      </c>
    </row>
    <row r="6">
      <c r="A6" s="7" t="n">
        <v>0</v>
      </c>
      <c r="B6" s="7" t="n">
        <v>0</v>
      </c>
      <c r="C6" s="8">
        <f>COUNTIFS(_Data_B!A:A,0,_Data_B!B:B,0)</f>
        <v/>
      </c>
      <c r="D6" s="9">
        <f>IF(C6=0,0,C6/502)</f>
        <v/>
      </c>
      <c r="E6" s="9">
        <f>IF(C6=0,0,COUNTIF(_Data_B!A:A,0)/502)</f>
        <v/>
      </c>
      <c r="F6" s="9">
        <f>IF(C6=0,0,COUNTIF(_Data_B!B:B,0)/502)</f>
        <v/>
      </c>
      <c r="G6" s="9">
        <f>IF(D6=0,0,E6*F6)</f>
        <v/>
      </c>
      <c r="H6" s="9">
        <f>IF(G6=0,0,D6/G6)</f>
        <v/>
      </c>
      <c r="I6" s="9">
        <f>IF(H6&lt;=0,0,LOG(H6,2))</f>
        <v/>
      </c>
      <c r="J6" s="9">
        <f>D6*I6</f>
        <v/>
      </c>
    </row>
    <row r="7">
      <c r="A7" s="7" t="n">
        <v>0</v>
      </c>
      <c r="B7" s="7" t="n">
        <v>1</v>
      </c>
      <c r="C7" s="8">
        <f>COUNTIFS(_Data_B!A:A,0,_Data_B!B:B,1)</f>
        <v/>
      </c>
      <c r="D7" s="9">
        <f>IF(C7=0,0,C7/502)</f>
        <v/>
      </c>
      <c r="E7" s="9">
        <f>IF(C7=0,0,COUNTIF(_Data_B!A:A,0)/502)</f>
        <v/>
      </c>
      <c r="F7" s="9">
        <f>IF(C7=0,0,COUNTIF(_Data_B!B:B,1)/502)</f>
        <v/>
      </c>
      <c r="G7" s="9">
        <f>IF(D7=0,0,E7*F7)</f>
        <v/>
      </c>
      <c r="H7" s="9">
        <f>IF(G7=0,0,D7/G7)</f>
        <v/>
      </c>
      <c r="I7" s="9">
        <f>IF(H7&lt;=0,0,LOG(H7,2))</f>
        <v/>
      </c>
      <c r="J7" s="9">
        <f>D7*I7</f>
        <v/>
      </c>
    </row>
    <row r="8">
      <c r="A8" s="7" t="n">
        <v>1</v>
      </c>
      <c r="B8" s="7" t="n">
        <v>0</v>
      </c>
      <c r="C8" s="8">
        <f>COUNTIFS(_Data_B!A:A,1,_Data_B!B:B,0)</f>
        <v/>
      </c>
      <c r="D8" s="9">
        <f>IF(C8=0,0,C8/502)</f>
        <v/>
      </c>
      <c r="E8" s="9">
        <f>IF(C8=0,0,COUNTIF(_Data_B!A:A,1)/502)</f>
        <v/>
      </c>
      <c r="F8" s="9">
        <f>IF(C8=0,0,COUNTIF(_Data_B!B:B,0)/502)</f>
        <v/>
      </c>
      <c r="G8" s="9">
        <f>IF(D8=0,0,E8*F8)</f>
        <v/>
      </c>
      <c r="H8" s="9">
        <f>IF(G8=0,0,D8/G8)</f>
        <v/>
      </c>
      <c r="I8" s="9">
        <f>IF(H8&lt;=0,0,LOG(H8,2))</f>
        <v/>
      </c>
      <c r="J8" s="9">
        <f>D8*I8</f>
        <v/>
      </c>
    </row>
    <row r="9">
      <c r="A9" s="7" t="n">
        <v>1</v>
      </c>
      <c r="B9" s="7" t="n">
        <v>1</v>
      </c>
      <c r="C9" s="8">
        <f>COUNTIFS(_Data_B!A:A,1,_Data_B!B:B,1)</f>
        <v/>
      </c>
      <c r="D9" s="9">
        <f>IF(C9=0,0,C9/502)</f>
        <v/>
      </c>
      <c r="E9" s="9">
        <f>IF(C9=0,0,COUNTIF(_Data_B!A:A,1)/502)</f>
        <v/>
      </c>
      <c r="F9" s="9">
        <f>IF(C9=0,0,COUNTIF(_Data_B!B:B,1)/502)</f>
        <v/>
      </c>
      <c r="G9" s="9">
        <f>IF(D9=0,0,E9*F9)</f>
        <v/>
      </c>
      <c r="H9" s="9">
        <f>IF(G9=0,0,D9/G9)</f>
        <v/>
      </c>
      <c r="I9" s="9">
        <f>IF(H9&lt;=0,0,LOG(H9,2))</f>
        <v/>
      </c>
      <c r="J9" s="9">
        <f>D9*I9</f>
        <v/>
      </c>
    </row>
    <row r="10">
      <c r="A10" s="2" t="inlineStr">
        <is>
          <t>IM(x1,x2) =</t>
        </is>
      </c>
      <c r="B10" s="26" t="n"/>
      <c r="C10" s="26" t="n"/>
      <c r="D10" s="26" t="n"/>
      <c r="E10" s="26" t="n"/>
      <c r="F10" s="26" t="n"/>
      <c r="G10" s="26" t="n"/>
      <c r="H10" s="26" t="n"/>
      <c r="I10" s="27" t="n"/>
      <c r="J10" s="11">
        <f>SUM(J6:J9)</f>
        <v/>
      </c>
    </row>
    <row r="13">
      <c r="A13" s="4" t="inlineStr">
        <is>
          <t>x1 — x5</t>
        </is>
      </c>
      <c r="B13" s="26" t="n"/>
      <c r="C13" s="26" t="n"/>
      <c r="D13" s="26" t="n"/>
      <c r="E13" s="26" t="n"/>
      <c r="F13" s="26" t="n"/>
      <c r="G13" s="26" t="n"/>
      <c r="H13" s="26" t="n"/>
      <c r="I13" s="26" t="n"/>
      <c r="J13" s="27" t="n"/>
    </row>
    <row r="14">
      <c r="A14" s="6" t="inlineStr">
        <is>
          <t>x1</t>
        </is>
      </c>
      <c r="B14" s="6" t="inlineStr">
        <is>
          <t>x5</t>
        </is>
      </c>
      <c r="C14" s="6" t="inlineStr">
        <is>
          <t>freq</t>
        </is>
      </c>
      <c r="D14" s="6" t="inlineStr">
        <is>
          <t>p(x1,x5)</t>
        </is>
      </c>
      <c r="E14" s="6" t="inlineStr">
        <is>
          <t>p(x1)</t>
        </is>
      </c>
      <c r="F14" s="6" t="inlineStr">
        <is>
          <t>p(x5)</t>
        </is>
      </c>
      <c r="G14" s="6" t="inlineStr">
        <is>
          <t>p(a)·p(b)</t>
        </is>
      </c>
      <c r="H14" s="6" t="inlineStr">
        <is>
          <t>ratio</t>
        </is>
      </c>
      <c r="I14" s="6" t="inlineStr">
        <is>
          <t>log₂(ratio)</t>
        </is>
      </c>
      <c r="J14" s="6" t="inlineStr">
        <is>
          <t>p·log₂(ratio)</t>
        </is>
      </c>
    </row>
    <row r="15">
      <c r="A15" s="7" t="n">
        <v>0</v>
      </c>
      <c r="B15" s="7" t="n">
        <v>0</v>
      </c>
      <c r="C15" s="8">
        <f>COUNTIFS(_Data_B!A:A,0,_Data_B!C:C,0)</f>
        <v/>
      </c>
      <c r="D15" s="9">
        <f>IF(C15=0,0,C15/502)</f>
        <v/>
      </c>
      <c r="E15" s="9">
        <f>IF(C15=0,0,COUNTIF(_Data_B!A:A,0)/502)</f>
        <v/>
      </c>
      <c r="F15" s="9">
        <f>IF(C15=0,0,COUNTIF(_Data_B!C:C,0)/502)</f>
        <v/>
      </c>
      <c r="G15" s="9">
        <f>IF(D15=0,0,E15*F15)</f>
        <v/>
      </c>
      <c r="H15" s="9">
        <f>IF(G15=0,0,D15/G15)</f>
        <v/>
      </c>
      <c r="I15" s="9">
        <f>IF(H15&lt;=0,0,LOG(H15,2))</f>
        <v/>
      </c>
      <c r="J15" s="9">
        <f>D15*I15</f>
        <v/>
      </c>
    </row>
    <row r="16">
      <c r="A16" s="7" t="n">
        <v>0</v>
      </c>
      <c r="B16" s="7" t="n">
        <v>1</v>
      </c>
      <c r="C16" s="8">
        <f>COUNTIFS(_Data_B!A:A,0,_Data_B!C:C,1)</f>
        <v/>
      </c>
      <c r="D16" s="9">
        <f>IF(C16=0,0,C16/502)</f>
        <v/>
      </c>
      <c r="E16" s="9">
        <f>IF(C16=0,0,COUNTIF(_Data_B!A:A,0)/502)</f>
        <v/>
      </c>
      <c r="F16" s="9">
        <f>IF(C16=0,0,COUNTIF(_Data_B!C:C,1)/502)</f>
        <v/>
      </c>
      <c r="G16" s="9">
        <f>IF(D16=0,0,E16*F16)</f>
        <v/>
      </c>
      <c r="H16" s="9">
        <f>IF(G16=0,0,D16/G16)</f>
        <v/>
      </c>
      <c r="I16" s="9">
        <f>IF(H16&lt;=0,0,LOG(H16,2))</f>
        <v/>
      </c>
      <c r="J16" s="9">
        <f>D16*I16</f>
        <v/>
      </c>
    </row>
    <row r="17">
      <c r="A17" s="7" t="n">
        <v>0</v>
      </c>
      <c r="B17" s="7" t="n">
        <v>2</v>
      </c>
      <c r="C17" s="8">
        <f>COUNTIFS(_Data_B!A:A,0,_Data_B!C:C,2)</f>
        <v/>
      </c>
      <c r="D17" s="9">
        <f>IF(C17=0,0,C17/502)</f>
        <v/>
      </c>
      <c r="E17" s="9">
        <f>IF(C17=0,0,COUNTIF(_Data_B!A:A,0)/502)</f>
        <v/>
      </c>
      <c r="F17" s="9">
        <f>IF(C17=0,0,COUNTIF(_Data_B!C:C,2)/502)</f>
        <v/>
      </c>
      <c r="G17" s="9">
        <f>IF(D17=0,0,E17*F17)</f>
        <v/>
      </c>
      <c r="H17" s="9">
        <f>IF(G17=0,0,D17/G17)</f>
        <v/>
      </c>
      <c r="I17" s="9">
        <f>IF(H17&lt;=0,0,LOG(H17,2))</f>
        <v/>
      </c>
      <c r="J17" s="9">
        <f>D17*I17</f>
        <v/>
      </c>
    </row>
    <row r="18">
      <c r="A18" s="7" t="n">
        <v>1</v>
      </c>
      <c r="B18" s="7" t="n">
        <v>0</v>
      </c>
      <c r="C18" s="8">
        <f>COUNTIFS(_Data_B!A:A,1,_Data_B!C:C,0)</f>
        <v/>
      </c>
      <c r="D18" s="9">
        <f>IF(C18=0,0,C18/502)</f>
        <v/>
      </c>
      <c r="E18" s="9">
        <f>IF(C18=0,0,COUNTIF(_Data_B!A:A,1)/502)</f>
        <v/>
      </c>
      <c r="F18" s="9">
        <f>IF(C18=0,0,COUNTIF(_Data_B!C:C,0)/502)</f>
        <v/>
      </c>
      <c r="G18" s="9">
        <f>IF(D18=0,0,E18*F18)</f>
        <v/>
      </c>
      <c r="H18" s="9">
        <f>IF(G18=0,0,D18/G18)</f>
        <v/>
      </c>
      <c r="I18" s="9">
        <f>IF(H18&lt;=0,0,LOG(H18,2))</f>
        <v/>
      </c>
      <c r="J18" s="9">
        <f>D18*I18</f>
        <v/>
      </c>
    </row>
    <row r="19">
      <c r="A19" s="7" t="n">
        <v>1</v>
      </c>
      <c r="B19" s="7" t="n">
        <v>1</v>
      </c>
      <c r="C19" s="8">
        <f>COUNTIFS(_Data_B!A:A,1,_Data_B!C:C,1)</f>
        <v/>
      </c>
      <c r="D19" s="9">
        <f>IF(C19=0,0,C19/502)</f>
        <v/>
      </c>
      <c r="E19" s="9">
        <f>IF(C19=0,0,COUNTIF(_Data_B!A:A,1)/502)</f>
        <v/>
      </c>
      <c r="F19" s="9">
        <f>IF(C19=0,0,COUNTIF(_Data_B!C:C,1)/502)</f>
        <v/>
      </c>
      <c r="G19" s="9">
        <f>IF(D19=0,0,E19*F19)</f>
        <v/>
      </c>
      <c r="H19" s="9">
        <f>IF(G19=0,0,D19/G19)</f>
        <v/>
      </c>
      <c r="I19" s="9">
        <f>IF(H19&lt;=0,0,LOG(H19,2))</f>
        <v/>
      </c>
      <c r="J19" s="9">
        <f>D19*I19</f>
        <v/>
      </c>
    </row>
    <row r="20">
      <c r="A20" s="7" t="n">
        <v>1</v>
      </c>
      <c r="B20" s="7" t="n">
        <v>2</v>
      </c>
      <c r="C20" s="8">
        <f>COUNTIFS(_Data_B!A:A,1,_Data_B!C:C,2)</f>
        <v/>
      </c>
      <c r="D20" s="9">
        <f>IF(C20=0,0,C20/502)</f>
        <v/>
      </c>
      <c r="E20" s="9">
        <f>IF(C20=0,0,COUNTIF(_Data_B!A:A,1)/502)</f>
        <v/>
      </c>
      <c r="F20" s="9">
        <f>IF(C20=0,0,COUNTIF(_Data_B!C:C,2)/502)</f>
        <v/>
      </c>
      <c r="G20" s="9">
        <f>IF(D20=0,0,E20*F20)</f>
        <v/>
      </c>
      <c r="H20" s="9">
        <f>IF(G20=0,0,D20/G20)</f>
        <v/>
      </c>
      <c r="I20" s="9">
        <f>IF(H20&lt;=0,0,LOG(H20,2))</f>
        <v/>
      </c>
      <c r="J20" s="9">
        <f>D20*I20</f>
        <v/>
      </c>
    </row>
    <row r="21">
      <c r="A21" s="2" t="inlineStr">
        <is>
          <t>IM(x1,x5) =</t>
        </is>
      </c>
      <c r="B21" s="26" t="n"/>
      <c r="C21" s="26" t="n"/>
      <c r="D21" s="26" t="n"/>
      <c r="E21" s="26" t="n"/>
      <c r="F21" s="26" t="n"/>
      <c r="G21" s="26" t="n"/>
      <c r="H21" s="26" t="n"/>
      <c r="I21" s="27" t="n"/>
      <c r="J21" s="11">
        <f>SUM(J15:J20)</f>
        <v/>
      </c>
    </row>
    <row r="24">
      <c r="A24" s="4" t="inlineStr">
        <is>
          <t>x1 — x4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7" t="n"/>
    </row>
    <row r="25">
      <c r="A25" s="6" t="inlineStr">
        <is>
          <t>x1</t>
        </is>
      </c>
      <c r="B25" s="6" t="inlineStr">
        <is>
          <t>x4</t>
        </is>
      </c>
      <c r="C25" s="6" t="inlineStr">
        <is>
          <t>freq</t>
        </is>
      </c>
      <c r="D25" s="6" t="inlineStr">
        <is>
          <t>p(x1,x4)</t>
        </is>
      </c>
      <c r="E25" s="6" t="inlineStr">
        <is>
          <t>p(x1)</t>
        </is>
      </c>
      <c r="F25" s="6" t="inlineStr">
        <is>
          <t>p(x4)</t>
        </is>
      </c>
      <c r="G25" s="6" t="inlineStr">
        <is>
          <t>p(a)·p(b)</t>
        </is>
      </c>
      <c r="H25" s="6" t="inlineStr">
        <is>
          <t>ratio</t>
        </is>
      </c>
      <c r="I25" s="6" t="inlineStr">
        <is>
          <t>log₂(ratio)</t>
        </is>
      </c>
      <c r="J25" s="6" t="inlineStr">
        <is>
          <t>p·log₂(ratio)</t>
        </is>
      </c>
    </row>
    <row r="26">
      <c r="A26" s="7" t="n">
        <v>0</v>
      </c>
      <c r="B26" s="7" t="n">
        <v>0</v>
      </c>
      <c r="C26" s="8">
        <f>COUNTIFS(_Data_B!A:A,0,_Data_B!D:D,0)</f>
        <v/>
      </c>
      <c r="D26" s="9">
        <f>IF(C26=0,0,C26/502)</f>
        <v/>
      </c>
      <c r="E26" s="9">
        <f>IF(C26=0,0,COUNTIF(_Data_B!A:A,0)/502)</f>
        <v/>
      </c>
      <c r="F26" s="9">
        <f>IF(C26=0,0,COUNTIF(_Data_B!D:D,0)/502)</f>
        <v/>
      </c>
      <c r="G26" s="9">
        <f>IF(D26=0,0,E26*F26)</f>
        <v/>
      </c>
      <c r="H26" s="9">
        <f>IF(G26=0,0,D26/G26)</f>
        <v/>
      </c>
      <c r="I26" s="9">
        <f>IF(H26&lt;=0,0,LOG(H26,2))</f>
        <v/>
      </c>
      <c r="J26" s="9">
        <f>D26*I26</f>
        <v/>
      </c>
    </row>
    <row r="27">
      <c r="A27" s="7" t="n">
        <v>0</v>
      </c>
      <c r="B27" s="7" t="n">
        <v>1</v>
      </c>
      <c r="C27" s="8">
        <f>COUNTIFS(_Data_B!A:A,0,_Data_B!D:D,1)</f>
        <v/>
      </c>
      <c r="D27" s="9">
        <f>IF(C27=0,0,C27/502)</f>
        <v/>
      </c>
      <c r="E27" s="9">
        <f>IF(C27=0,0,COUNTIF(_Data_B!A:A,0)/502)</f>
        <v/>
      </c>
      <c r="F27" s="9">
        <f>IF(C27=0,0,COUNTIF(_Data_B!D:D,1)/502)</f>
        <v/>
      </c>
      <c r="G27" s="9">
        <f>IF(D27=0,0,E27*F27)</f>
        <v/>
      </c>
      <c r="H27" s="9">
        <f>IF(G27=0,0,D27/G27)</f>
        <v/>
      </c>
      <c r="I27" s="9">
        <f>IF(H27&lt;=0,0,LOG(H27,2))</f>
        <v/>
      </c>
      <c r="J27" s="9">
        <f>D27*I27</f>
        <v/>
      </c>
    </row>
    <row r="28">
      <c r="A28" s="7" t="n">
        <v>1</v>
      </c>
      <c r="B28" s="7" t="n">
        <v>0</v>
      </c>
      <c r="C28" s="8">
        <f>COUNTIFS(_Data_B!A:A,1,_Data_B!D:D,0)</f>
        <v/>
      </c>
      <c r="D28" s="9">
        <f>IF(C28=0,0,C28/502)</f>
        <v/>
      </c>
      <c r="E28" s="9">
        <f>IF(C28=0,0,COUNTIF(_Data_B!A:A,1)/502)</f>
        <v/>
      </c>
      <c r="F28" s="9">
        <f>IF(C28=0,0,COUNTIF(_Data_B!D:D,0)/502)</f>
        <v/>
      </c>
      <c r="G28" s="9">
        <f>IF(D28=0,0,E28*F28)</f>
        <v/>
      </c>
      <c r="H28" s="9">
        <f>IF(G28=0,0,D28/G28)</f>
        <v/>
      </c>
      <c r="I28" s="9">
        <f>IF(H28&lt;=0,0,LOG(H28,2))</f>
        <v/>
      </c>
      <c r="J28" s="9">
        <f>D28*I28</f>
        <v/>
      </c>
    </row>
    <row r="29">
      <c r="A29" s="7" t="n">
        <v>1</v>
      </c>
      <c r="B29" s="7" t="n">
        <v>1</v>
      </c>
      <c r="C29" s="8">
        <f>COUNTIFS(_Data_B!A:A,1,_Data_B!D:D,1)</f>
        <v/>
      </c>
      <c r="D29" s="9">
        <f>IF(C29=0,0,C29/502)</f>
        <v/>
      </c>
      <c r="E29" s="9">
        <f>IF(C29=0,0,COUNTIF(_Data_B!A:A,1)/502)</f>
        <v/>
      </c>
      <c r="F29" s="9">
        <f>IF(C29=0,0,COUNTIF(_Data_B!D:D,1)/502)</f>
        <v/>
      </c>
      <c r="G29" s="9">
        <f>IF(D29=0,0,E29*F29)</f>
        <v/>
      </c>
      <c r="H29" s="9">
        <f>IF(G29=0,0,D29/G29)</f>
        <v/>
      </c>
      <c r="I29" s="9">
        <f>IF(H29&lt;=0,0,LOG(H29,2))</f>
        <v/>
      </c>
      <c r="J29" s="9">
        <f>D29*I29</f>
        <v/>
      </c>
    </row>
    <row r="30">
      <c r="A30" s="2" t="inlineStr">
        <is>
          <t>IM(x1,x4) =</t>
        </is>
      </c>
      <c r="B30" s="26" t="n"/>
      <c r="C30" s="26" t="n"/>
      <c r="D30" s="26" t="n"/>
      <c r="E30" s="26" t="n"/>
      <c r="F30" s="26" t="n"/>
      <c r="G30" s="26" t="n"/>
      <c r="H30" s="26" t="n"/>
      <c r="I30" s="27" t="n"/>
      <c r="J30" s="11">
        <f>SUM(J26:J29)</f>
        <v/>
      </c>
    </row>
    <row r="33">
      <c r="A33" s="4" t="inlineStr">
        <is>
          <t>x1 — x6</t>
        </is>
      </c>
      <c r="B33" s="26" t="n"/>
      <c r="C33" s="26" t="n"/>
      <c r="D33" s="26" t="n"/>
      <c r="E33" s="26" t="n"/>
      <c r="F33" s="26" t="n"/>
      <c r="G33" s="26" t="n"/>
      <c r="H33" s="26" t="n"/>
      <c r="I33" s="26" t="n"/>
      <c r="J33" s="27" t="n"/>
    </row>
    <row r="34">
      <c r="A34" s="6" t="inlineStr">
        <is>
          <t>x1</t>
        </is>
      </c>
      <c r="B34" s="6" t="inlineStr">
        <is>
          <t>x6</t>
        </is>
      </c>
      <c r="C34" s="6" t="inlineStr">
        <is>
          <t>freq</t>
        </is>
      </c>
      <c r="D34" s="6" t="inlineStr">
        <is>
          <t>p(x1,x6)</t>
        </is>
      </c>
      <c r="E34" s="6" t="inlineStr">
        <is>
          <t>p(x1)</t>
        </is>
      </c>
      <c r="F34" s="6" t="inlineStr">
        <is>
          <t>p(x6)</t>
        </is>
      </c>
      <c r="G34" s="6" t="inlineStr">
        <is>
          <t>p(a)·p(b)</t>
        </is>
      </c>
      <c r="H34" s="6" t="inlineStr">
        <is>
          <t>ratio</t>
        </is>
      </c>
      <c r="I34" s="6" t="inlineStr">
        <is>
          <t>log₂(ratio)</t>
        </is>
      </c>
      <c r="J34" s="6" t="inlineStr">
        <is>
          <t>p·log₂(ratio)</t>
        </is>
      </c>
    </row>
    <row r="35">
      <c r="A35" s="7" t="n">
        <v>0</v>
      </c>
      <c r="B35" s="7" t="n">
        <v>0</v>
      </c>
      <c r="C35" s="8">
        <f>COUNTIFS(_Data_B!A:A,0,_Data_B!E:E,0)</f>
        <v/>
      </c>
      <c r="D35" s="9">
        <f>IF(C35=0,0,C35/502)</f>
        <v/>
      </c>
      <c r="E35" s="9">
        <f>IF(C35=0,0,COUNTIF(_Data_B!A:A,0)/502)</f>
        <v/>
      </c>
      <c r="F35" s="9">
        <f>IF(C35=0,0,COUNTIF(_Data_B!E:E,0)/502)</f>
        <v/>
      </c>
      <c r="G35" s="9">
        <f>IF(D35=0,0,E35*F35)</f>
        <v/>
      </c>
      <c r="H35" s="9">
        <f>IF(G35=0,0,D35/G35)</f>
        <v/>
      </c>
      <c r="I35" s="9">
        <f>IF(H35&lt;=0,0,LOG(H35,2))</f>
        <v/>
      </c>
      <c r="J35" s="9">
        <f>D35*I35</f>
        <v/>
      </c>
    </row>
    <row r="36">
      <c r="A36" s="7" t="n">
        <v>0</v>
      </c>
      <c r="B36" s="7" t="n">
        <v>1</v>
      </c>
      <c r="C36" s="8">
        <f>COUNTIFS(_Data_B!A:A,0,_Data_B!E:E,1)</f>
        <v/>
      </c>
      <c r="D36" s="9">
        <f>IF(C36=0,0,C36/502)</f>
        <v/>
      </c>
      <c r="E36" s="9">
        <f>IF(C36=0,0,COUNTIF(_Data_B!A:A,0)/502)</f>
        <v/>
      </c>
      <c r="F36" s="9">
        <f>IF(C36=0,0,COUNTIF(_Data_B!E:E,1)/502)</f>
        <v/>
      </c>
      <c r="G36" s="9">
        <f>IF(D36=0,0,E36*F36)</f>
        <v/>
      </c>
      <c r="H36" s="9">
        <f>IF(G36=0,0,D36/G36)</f>
        <v/>
      </c>
      <c r="I36" s="9">
        <f>IF(H36&lt;=0,0,LOG(H36,2))</f>
        <v/>
      </c>
      <c r="J36" s="9">
        <f>D36*I36</f>
        <v/>
      </c>
    </row>
    <row r="37">
      <c r="A37" s="7" t="n">
        <v>1</v>
      </c>
      <c r="B37" s="7" t="n">
        <v>0</v>
      </c>
      <c r="C37" s="8">
        <f>COUNTIFS(_Data_B!A:A,1,_Data_B!E:E,0)</f>
        <v/>
      </c>
      <c r="D37" s="9">
        <f>IF(C37=0,0,C37/502)</f>
        <v/>
      </c>
      <c r="E37" s="9">
        <f>IF(C37=0,0,COUNTIF(_Data_B!A:A,1)/502)</f>
        <v/>
      </c>
      <c r="F37" s="9">
        <f>IF(C37=0,0,COUNTIF(_Data_B!E:E,0)/502)</f>
        <v/>
      </c>
      <c r="G37" s="9">
        <f>IF(D37=0,0,E37*F37)</f>
        <v/>
      </c>
      <c r="H37" s="9">
        <f>IF(G37=0,0,D37/G37)</f>
        <v/>
      </c>
      <c r="I37" s="9">
        <f>IF(H37&lt;=0,0,LOG(H37,2))</f>
        <v/>
      </c>
      <c r="J37" s="9">
        <f>D37*I37</f>
        <v/>
      </c>
    </row>
    <row r="38">
      <c r="A38" s="7" t="n">
        <v>1</v>
      </c>
      <c r="B38" s="7" t="n">
        <v>1</v>
      </c>
      <c r="C38" s="8">
        <f>COUNTIFS(_Data_B!A:A,1,_Data_B!E:E,1)</f>
        <v/>
      </c>
      <c r="D38" s="9">
        <f>IF(C38=0,0,C38/502)</f>
        <v/>
      </c>
      <c r="E38" s="9">
        <f>IF(C38=0,0,COUNTIF(_Data_B!A:A,1)/502)</f>
        <v/>
      </c>
      <c r="F38" s="9">
        <f>IF(C38=0,0,COUNTIF(_Data_B!E:E,1)/502)</f>
        <v/>
      </c>
      <c r="G38" s="9">
        <f>IF(D38=0,0,E38*F38)</f>
        <v/>
      </c>
      <c r="H38" s="9">
        <f>IF(G38=0,0,D38/G38)</f>
        <v/>
      </c>
      <c r="I38" s="9">
        <f>IF(H38&lt;=0,0,LOG(H38,2))</f>
        <v/>
      </c>
      <c r="J38" s="9">
        <f>D38*I38</f>
        <v/>
      </c>
    </row>
    <row r="39">
      <c r="A39" s="2" t="inlineStr">
        <is>
          <t>IM(x1,x6) =</t>
        </is>
      </c>
      <c r="B39" s="26" t="n"/>
      <c r="C39" s="26" t="n"/>
      <c r="D39" s="26" t="n"/>
      <c r="E39" s="26" t="n"/>
      <c r="F39" s="26" t="n"/>
      <c r="G39" s="26" t="n"/>
      <c r="H39" s="26" t="n"/>
      <c r="I39" s="27" t="n"/>
      <c r="J39" s="11">
        <f>SUM(J35:J38)</f>
        <v/>
      </c>
    </row>
    <row r="42">
      <c r="A42" s="4" t="inlineStr">
        <is>
          <t>x1 — x9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7" t="n"/>
    </row>
    <row r="43">
      <c r="A43" s="6" t="inlineStr">
        <is>
          <t>x1</t>
        </is>
      </c>
      <c r="B43" s="6" t="inlineStr">
        <is>
          <t>x9</t>
        </is>
      </c>
      <c r="C43" s="6" t="inlineStr">
        <is>
          <t>freq</t>
        </is>
      </c>
      <c r="D43" s="6" t="inlineStr">
        <is>
          <t>p(x1,x9)</t>
        </is>
      </c>
      <c r="E43" s="6" t="inlineStr">
        <is>
          <t>p(x1)</t>
        </is>
      </c>
      <c r="F43" s="6" t="inlineStr">
        <is>
          <t>p(x9)</t>
        </is>
      </c>
      <c r="G43" s="6" t="inlineStr">
        <is>
          <t>p(a)·p(b)</t>
        </is>
      </c>
      <c r="H43" s="6" t="inlineStr">
        <is>
          <t>ratio</t>
        </is>
      </c>
      <c r="I43" s="6" t="inlineStr">
        <is>
          <t>log₂(ratio)</t>
        </is>
      </c>
      <c r="J43" s="6" t="inlineStr">
        <is>
          <t>p·log₂(ratio)</t>
        </is>
      </c>
    </row>
    <row r="44">
      <c r="A44" s="7" t="n">
        <v>0</v>
      </c>
      <c r="B44" s="7" t="n">
        <v>0</v>
      </c>
      <c r="C44" s="8">
        <f>COUNTIFS(_Data_B!A:A,0,_Data_B!F:F,0)</f>
        <v/>
      </c>
      <c r="D44" s="9">
        <f>IF(C44=0,0,C44/502)</f>
        <v/>
      </c>
      <c r="E44" s="9">
        <f>IF(C44=0,0,COUNTIF(_Data_B!A:A,0)/502)</f>
        <v/>
      </c>
      <c r="F44" s="9">
        <f>IF(C44=0,0,COUNTIF(_Data_B!F:F,0)/502)</f>
        <v/>
      </c>
      <c r="G44" s="9">
        <f>IF(D44=0,0,E44*F44)</f>
        <v/>
      </c>
      <c r="H44" s="9">
        <f>IF(G44=0,0,D44/G44)</f>
        <v/>
      </c>
      <c r="I44" s="9">
        <f>IF(H44&lt;=0,0,LOG(H44,2))</f>
        <v/>
      </c>
      <c r="J44" s="9">
        <f>D44*I44</f>
        <v/>
      </c>
    </row>
    <row r="45">
      <c r="A45" s="7" t="n">
        <v>0</v>
      </c>
      <c r="B45" s="7" t="n">
        <v>1</v>
      </c>
      <c r="C45" s="8">
        <f>COUNTIFS(_Data_B!A:A,0,_Data_B!F:F,1)</f>
        <v/>
      </c>
      <c r="D45" s="9">
        <f>IF(C45=0,0,C45/502)</f>
        <v/>
      </c>
      <c r="E45" s="9">
        <f>IF(C45=0,0,COUNTIF(_Data_B!A:A,0)/502)</f>
        <v/>
      </c>
      <c r="F45" s="9">
        <f>IF(C45=0,0,COUNTIF(_Data_B!F:F,1)/502)</f>
        <v/>
      </c>
      <c r="G45" s="9">
        <f>IF(D45=0,0,E45*F45)</f>
        <v/>
      </c>
      <c r="H45" s="9">
        <f>IF(G45=0,0,D45/G45)</f>
        <v/>
      </c>
      <c r="I45" s="9">
        <f>IF(H45&lt;=0,0,LOG(H45,2))</f>
        <v/>
      </c>
      <c r="J45" s="9">
        <f>D45*I45</f>
        <v/>
      </c>
    </row>
    <row r="46">
      <c r="A46" s="7" t="n">
        <v>0</v>
      </c>
      <c r="B46" s="7" t="n">
        <v>2</v>
      </c>
      <c r="C46" s="8">
        <f>COUNTIFS(_Data_B!A:A,0,_Data_B!F:F,2)</f>
        <v/>
      </c>
      <c r="D46" s="9">
        <f>IF(C46=0,0,C46/502)</f>
        <v/>
      </c>
      <c r="E46" s="9">
        <f>IF(C46=0,0,COUNTIF(_Data_B!A:A,0)/502)</f>
        <v/>
      </c>
      <c r="F46" s="9">
        <f>IF(C46=0,0,COUNTIF(_Data_B!F:F,2)/502)</f>
        <v/>
      </c>
      <c r="G46" s="9">
        <f>IF(D46=0,0,E46*F46)</f>
        <v/>
      </c>
      <c r="H46" s="9">
        <f>IF(G46=0,0,D46/G46)</f>
        <v/>
      </c>
      <c r="I46" s="9">
        <f>IF(H46&lt;=0,0,LOG(H46,2))</f>
        <v/>
      </c>
      <c r="J46" s="9">
        <f>D46*I46</f>
        <v/>
      </c>
    </row>
    <row r="47">
      <c r="A47" s="7" t="n">
        <v>0</v>
      </c>
      <c r="B47" s="7" t="n">
        <v>3</v>
      </c>
      <c r="C47" s="8">
        <f>COUNTIFS(_Data_B!A:A,0,_Data_B!F:F,3)</f>
        <v/>
      </c>
      <c r="D47" s="9">
        <f>IF(C47=0,0,C47/502)</f>
        <v/>
      </c>
      <c r="E47" s="9">
        <f>IF(C47=0,0,COUNTIF(_Data_B!A:A,0)/502)</f>
        <v/>
      </c>
      <c r="F47" s="9">
        <f>IF(C47=0,0,COUNTIF(_Data_B!F:F,3)/502)</f>
        <v/>
      </c>
      <c r="G47" s="9">
        <f>IF(D47=0,0,E47*F47)</f>
        <v/>
      </c>
      <c r="H47" s="9">
        <f>IF(G47=0,0,D47/G47)</f>
        <v/>
      </c>
      <c r="I47" s="9">
        <f>IF(H47&lt;=0,0,LOG(H47,2))</f>
        <v/>
      </c>
      <c r="J47" s="9">
        <f>D47*I47</f>
        <v/>
      </c>
    </row>
    <row r="48">
      <c r="A48" s="7" t="n">
        <v>1</v>
      </c>
      <c r="B48" s="7" t="n">
        <v>0</v>
      </c>
      <c r="C48" s="8">
        <f>COUNTIFS(_Data_B!A:A,1,_Data_B!F:F,0)</f>
        <v/>
      </c>
      <c r="D48" s="9">
        <f>IF(C48=0,0,C48/502)</f>
        <v/>
      </c>
      <c r="E48" s="9">
        <f>IF(C48=0,0,COUNTIF(_Data_B!A:A,1)/502)</f>
        <v/>
      </c>
      <c r="F48" s="9">
        <f>IF(C48=0,0,COUNTIF(_Data_B!F:F,0)/502)</f>
        <v/>
      </c>
      <c r="G48" s="9">
        <f>IF(D48=0,0,E48*F48)</f>
        <v/>
      </c>
      <c r="H48" s="9">
        <f>IF(G48=0,0,D48/G48)</f>
        <v/>
      </c>
      <c r="I48" s="9">
        <f>IF(H48&lt;=0,0,LOG(H48,2))</f>
        <v/>
      </c>
      <c r="J48" s="9">
        <f>D48*I48</f>
        <v/>
      </c>
    </row>
    <row r="49">
      <c r="A49" s="7" t="n">
        <v>1</v>
      </c>
      <c r="B49" s="7" t="n">
        <v>1</v>
      </c>
      <c r="C49" s="8">
        <f>COUNTIFS(_Data_B!A:A,1,_Data_B!F:F,1)</f>
        <v/>
      </c>
      <c r="D49" s="9">
        <f>IF(C49=0,0,C49/502)</f>
        <v/>
      </c>
      <c r="E49" s="9">
        <f>IF(C49=0,0,COUNTIF(_Data_B!A:A,1)/502)</f>
        <v/>
      </c>
      <c r="F49" s="9">
        <f>IF(C49=0,0,COUNTIF(_Data_B!F:F,1)/502)</f>
        <v/>
      </c>
      <c r="G49" s="9">
        <f>IF(D49=0,0,E49*F49)</f>
        <v/>
      </c>
      <c r="H49" s="9">
        <f>IF(G49=0,0,D49/G49)</f>
        <v/>
      </c>
      <c r="I49" s="9">
        <f>IF(H49&lt;=0,0,LOG(H49,2))</f>
        <v/>
      </c>
      <c r="J49" s="9">
        <f>D49*I49</f>
        <v/>
      </c>
    </row>
    <row r="50">
      <c r="A50" s="7" t="n">
        <v>1</v>
      </c>
      <c r="B50" s="7" t="n">
        <v>2</v>
      </c>
      <c r="C50" s="8">
        <f>COUNTIFS(_Data_B!A:A,1,_Data_B!F:F,2)</f>
        <v/>
      </c>
      <c r="D50" s="9">
        <f>IF(C50=0,0,C50/502)</f>
        <v/>
      </c>
      <c r="E50" s="9">
        <f>IF(C50=0,0,COUNTIF(_Data_B!A:A,1)/502)</f>
        <v/>
      </c>
      <c r="F50" s="9">
        <f>IF(C50=0,0,COUNTIF(_Data_B!F:F,2)/502)</f>
        <v/>
      </c>
      <c r="G50" s="9">
        <f>IF(D50=0,0,E50*F50)</f>
        <v/>
      </c>
      <c r="H50" s="9">
        <f>IF(G50=0,0,D50/G50)</f>
        <v/>
      </c>
      <c r="I50" s="9">
        <f>IF(H50&lt;=0,0,LOG(H50,2))</f>
        <v/>
      </c>
      <c r="J50" s="9">
        <f>D50*I50</f>
        <v/>
      </c>
    </row>
    <row r="51">
      <c r="A51" s="7" t="n">
        <v>1</v>
      </c>
      <c r="B51" s="7" t="n">
        <v>3</v>
      </c>
      <c r="C51" s="8">
        <f>COUNTIFS(_Data_B!A:A,1,_Data_B!F:F,3)</f>
        <v/>
      </c>
      <c r="D51" s="9">
        <f>IF(C51=0,0,C51/502)</f>
        <v/>
      </c>
      <c r="E51" s="9">
        <f>IF(C51=0,0,COUNTIF(_Data_B!A:A,1)/502)</f>
        <v/>
      </c>
      <c r="F51" s="9">
        <f>IF(C51=0,0,COUNTIF(_Data_B!F:F,3)/502)</f>
        <v/>
      </c>
      <c r="G51" s="9">
        <f>IF(D51=0,0,E51*F51)</f>
        <v/>
      </c>
      <c r="H51" s="9">
        <f>IF(G51=0,0,D51/G51)</f>
        <v/>
      </c>
      <c r="I51" s="9">
        <f>IF(H51&lt;=0,0,LOG(H51,2))</f>
        <v/>
      </c>
      <c r="J51" s="9">
        <f>D51*I51</f>
        <v/>
      </c>
    </row>
    <row r="52">
      <c r="A52" s="2" t="inlineStr">
        <is>
          <t>IM(x1,x9) =</t>
        </is>
      </c>
      <c r="B52" s="26" t="n"/>
      <c r="C52" s="26" t="n"/>
      <c r="D52" s="26" t="n"/>
      <c r="E52" s="26" t="n"/>
      <c r="F52" s="26" t="n"/>
      <c r="G52" s="26" t="n"/>
      <c r="H52" s="26" t="n"/>
      <c r="I52" s="27" t="n"/>
      <c r="J52" s="11">
        <f>SUM(J44:J51)</f>
        <v/>
      </c>
    </row>
    <row r="55">
      <c r="A55" s="4" t="inlineStr">
        <is>
          <t>x1 — x3</t>
        </is>
      </c>
      <c r="B55" s="26" t="n"/>
      <c r="C55" s="26" t="n"/>
      <c r="D55" s="26" t="n"/>
      <c r="E55" s="26" t="n"/>
      <c r="F55" s="26" t="n"/>
      <c r="G55" s="26" t="n"/>
      <c r="H55" s="26" t="n"/>
      <c r="I55" s="26" t="n"/>
      <c r="J55" s="27" t="n"/>
    </row>
    <row r="56">
      <c r="A56" s="6" t="inlineStr">
        <is>
          <t>x1</t>
        </is>
      </c>
      <c r="B56" s="6" t="inlineStr">
        <is>
          <t>x3</t>
        </is>
      </c>
      <c r="C56" s="6" t="inlineStr">
        <is>
          <t>freq</t>
        </is>
      </c>
      <c r="D56" s="6" t="inlineStr">
        <is>
          <t>p(x1,x3)</t>
        </is>
      </c>
      <c r="E56" s="6" t="inlineStr">
        <is>
          <t>p(x1)</t>
        </is>
      </c>
      <c r="F56" s="6" t="inlineStr">
        <is>
          <t>p(x3)</t>
        </is>
      </c>
      <c r="G56" s="6" t="inlineStr">
        <is>
          <t>p(a)·p(b)</t>
        </is>
      </c>
      <c r="H56" s="6" t="inlineStr">
        <is>
          <t>ratio</t>
        </is>
      </c>
      <c r="I56" s="6" t="inlineStr">
        <is>
          <t>log₂(ratio)</t>
        </is>
      </c>
      <c r="J56" s="6" t="inlineStr">
        <is>
          <t>p·log₂(ratio)</t>
        </is>
      </c>
    </row>
    <row r="57">
      <c r="A57" s="7" t="n">
        <v>0</v>
      </c>
      <c r="B57" s="7" t="n">
        <v>0</v>
      </c>
      <c r="C57" s="8">
        <f>COUNTIFS(_Data_B!A:A,0,_Data_B!G:G,0)</f>
        <v/>
      </c>
      <c r="D57" s="9">
        <f>IF(C57=0,0,C57/502)</f>
        <v/>
      </c>
      <c r="E57" s="9">
        <f>IF(C57=0,0,COUNTIF(_Data_B!A:A,0)/502)</f>
        <v/>
      </c>
      <c r="F57" s="9">
        <f>IF(C57=0,0,COUNTIF(_Data_B!G:G,0)/502)</f>
        <v/>
      </c>
      <c r="G57" s="9">
        <f>IF(D57=0,0,E57*F57)</f>
        <v/>
      </c>
      <c r="H57" s="9">
        <f>IF(G57=0,0,D57/G57)</f>
        <v/>
      </c>
      <c r="I57" s="9">
        <f>IF(H57&lt;=0,0,LOG(H57,2))</f>
        <v/>
      </c>
      <c r="J57" s="9">
        <f>D57*I57</f>
        <v/>
      </c>
    </row>
    <row r="58">
      <c r="A58" s="7" t="n">
        <v>0</v>
      </c>
      <c r="B58" s="7" t="n">
        <v>1</v>
      </c>
      <c r="C58" s="8">
        <f>COUNTIFS(_Data_B!A:A,0,_Data_B!G:G,1)</f>
        <v/>
      </c>
      <c r="D58" s="9">
        <f>IF(C58=0,0,C58/502)</f>
        <v/>
      </c>
      <c r="E58" s="9">
        <f>IF(C58=0,0,COUNTIF(_Data_B!A:A,0)/502)</f>
        <v/>
      </c>
      <c r="F58" s="9">
        <f>IF(C58=0,0,COUNTIF(_Data_B!G:G,1)/502)</f>
        <v/>
      </c>
      <c r="G58" s="9">
        <f>IF(D58=0,0,E58*F58)</f>
        <v/>
      </c>
      <c r="H58" s="9">
        <f>IF(G58=0,0,D58/G58)</f>
        <v/>
      </c>
      <c r="I58" s="9">
        <f>IF(H58&lt;=0,0,LOG(H58,2))</f>
        <v/>
      </c>
      <c r="J58" s="9">
        <f>D58*I58</f>
        <v/>
      </c>
    </row>
    <row r="59">
      <c r="A59" s="7" t="n">
        <v>1</v>
      </c>
      <c r="B59" s="7" t="n">
        <v>0</v>
      </c>
      <c r="C59" s="8">
        <f>COUNTIFS(_Data_B!A:A,1,_Data_B!G:G,0)</f>
        <v/>
      </c>
      <c r="D59" s="9">
        <f>IF(C59=0,0,C59/502)</f>
        <v/>
      </c>
      <c r="E59" s="9">
        <f>IF(C59=0,0,COUNTIF(_Data_B!A:A,1)/502)</f>
        <v/>
      </c>
      <c r="F59" s="9">
        <f>IF(C59=0,0,COUNTIF(_Data_B!G:G,0)/502)</f>
        <v/>
      </c>
      <c r="G59" s="9">
        <f>IF(D59=0,0,E59*F59)</f>
        <v/>
      </c>
      <c r="H59" s="9">
        <f>IF(G59=0,0,D59/G59)</f>
        <v/>
      </c>
      <c r="I59" s="9">
        <f>IF(H59&lt;=0,0,LOG(H59,2))</f>
        <v/>
      </c>
      <c r="J59" s="9">
        <f>D59*I59</f>
        <v/>
      </c>
    </row>
    <row r="60">
      <c r="A60" s="7" t="n">
        <v>1</v>
      </c>
      <c r="B60" s="7" t="n">
        <v>1</v>
      </c>
      <c r="C60" s="8">
        <f>COUNTIFS(_Data_B!A:A,1,_Data_B!G:G,1)</f>
        <v/>
      </c>
      <c r="D60" s="9">
        <f>IF(C60=0,0,C60/502)</f>
        <v/>
      </c>
      <c r="E60" s="9">
        <f>IF(C60=0,0,COUNTIF(_Data_B!A:A,1)/502)</f>
        <v/>
      </c>
      <c r="F60" s="9">
        <f>IF(C60=0,0,COUNTIF(_Data_B!G:G,1)/502)</f>
        <v/>
      </c>
      <c r="G60" s="9">
        <f>IF(D60=0,0,E60*F60)</f>
        <v/>
      </c>
      <c r="H60" s="9">
        <f>IF(G60=0,0,D60/G60)</f>
        <v/>
      </c>
      <c r="I60" s="9">
        <f>IF(H60&lt;=0,0,LOG(H60,2))</f>
        <v/>
      </c>
      <c r="J60" s="9">
        <f>D60*I60</f>
        <v/>
      </c>
    </row>
    <row r="61">
      <c r="A61" s="2" t="inlineStr">
        <is>
          <t>IM(x1,x3) =</t>
        </is>
      </c>
      <c r="B61" s="26" t="n"/>
      <c r="C61" s="26" t="n"/>
      <c r="D61" s="26" t="n"/>
      <c r="E61" s="26" t="n"/>
      <c r="F61" s="26" t="n"/>
      <c r="G61" s="26" t="n"/>
      <c r="H61" s="26" t="n"/>
      <c r="I61" s="27" t="n"/>
      <c r="J61" s="11">
        <f>SUM(J57:J60)</f>
        <v/>
      </c>
    </row>
    <row r="64">
      <c r="A64" s="4" t="inlineStr">
        <is>
          <t>x2 — x5</t>
        </is>
      </c>
      <c r="B64" s="26" t="n"/>
      <c r="C64" s="26" t="n"/>
      <c r="D64" s="26" t="n"/>
      <c r="E64" s="26" t="n"/>
      <c r="F64" s="26" t="n"/>
      <c r="G64" s="26" t="n"/>
      <c r="H64" s="26" t="n"/>
      <c r="I64" s="26" t="n"/>
      <c r="J64" s="27" t="n"/>
    </row>
    <row r="65">
      <c r="A65" s="6" t="inlineStr">
        <is>
          <t>x2</t>
        </is>
      </c>
      <c r="B65" s="6" t="inlineStr">
        <is>
          <t>x5</t>
        </is>
      </c>
      <c r="C65" s="6" t="inlineStr">
        <is>
          <t>freq</t>
        </is>
      </c>
      <c r="D65" s="6" t="inlineStr">
        <is>
          <t>p(x2,x5)</t>
        </is>
      </c>
      <c r="E65" s="6" t="inlineStr">
        <is>
          <t>p(x2)</t>
        </is>
      </c>
      <c r="F65" s="6" t="inlineStr">
        <is>
          <t>p(x5)</t>
        </is>
      </c>
      <c r="G65" s="6" t="inlineStr">
        <is>
          <t>p(a)·p(b)</t>
        </is>
      </c>
      <c r="H65" s="6" t="inlineStr">
        <is>
          <t>ratio</t>
        </is>
      </c>
      <c r="I65" s="6" t="inlineStr">
        <is>
          <t>log₂(ratio)</t>
        </is>
      </c>
      <c r="J65" s="6" t="inlineStr">
        <is>
          <t>p·log₂(ratio)</t>
        </is>
      </c>
    </row>
    <row r="66">
      <c r="A66" s="7" t="n">
        <v>0</v>
      </c>
      <c r="B66" s="7" t="n">
        <v>0</v>
      </c>
      <c r="C66" s="8">
        <f>COUNTIFS(_Data_B!B:B,0,_Data_B!C:C,0)</f>
        <v/>
      </c>
      <c r="D66" s="9">
        <f>IF(C66=0,0,C66/502)</f>
        <v/>
      </c>
      <c r="E66" s="9">
        <f>IF(C66=0,0,COUNTIF(_Data_B!B:B,0)/502)</f>
        <v/>
      </c>
      <c r="F66" s="9">
        <f>IF(C66=0,0,COUNTIF(_Data_B!C:C,0)/502)</f>
        <v/>
      </c>
      <c r="G66" s="9">
        <f>IF(D66=0,0,E66*F66)</f>
        <v/>
      </c>
      <c r="H66" s="9">
        <f>IF(G66=0,0,D66/G66)</f>
        <v/>
      </c>
      <c r="I66" s="9">
        <f>IF(H66&lt;=0,0,LOG(H66,2))</f>
        <v/>
      </c>
      <c r="J66" s="9">
        <f>D66*I66</f>
        <v/>
      </c>
    </row>
    <row r="67">
      <c r="A67" s="7" t="n">
        <v>0</v>
      </c>
      <c r="B67" s="7" t="n">
        <v>1</v>
      </c>
      <c r="C67" s="8">
        <f>COUNTIFS(_Data_B!B:B,0,_Data_B!C:C,1)</f>
        <v/>
      </c>
      <c r="D67" s="9">
        <f>IF(C67=0,0,C67/502)</f>
        <v/>
      </c>
      <c r="E67" s="9">
        <f>IF(C67=0,0,COUNTIF(_Data_B!B:B,0)/502)</f>
        <v/>
      </c>
      <c r="F67" s="9">
        <f>IF(C67=0,0,COUNTIF(_Data_B!C:C,1)/502)</f>
        <v/>
      </c>
      <c r="G67" s="9">
        <f>IF(D67=0,0,E67*F67)</f>
        <v/>
      </c>
      <c r="H67" s="9">
        <f>IF(G67=0,0,D67/G67)</f>
        <v/>
      </c>
      <c r="I67" s="9">
        <f>IF(H67&lt;=0,0,LOG(H67,2))</f>
        <v/>
      </c>
      <c r="J67" s="9">
        <f>D67*I67</f>
        <v/>
      </c>
    </row>
    <row r="68">
      <c r="A68" s="7" t="n">
        <v>0</v>
      </c>
      <c r="B68" s="7" t="n">
        <v>2</v>
      </c>
      <c r="C68" s="8">
        <f>COUNTIFS(_Data_B!B:B,0,_Data_B!C:C,2)</f>
        <v/>
      </c>
      <c r="D68" s="9">
        <f>IF(C68=0,0,C68/502)</f>
        <v/>
      </c>
      <c r="E68" s="9">
        <f>IF(C68=0,0,COUNTIF(_Data_B!B:B,0)/502)</f>
        <v/>
      </c>
      <c r="F68" s="9">
        <f>IF(C68=0,0,COUNTIF(_Data_B!C:C,2)/502)</f>
        <v/>
      </c>
      <c r="G68" s="9">
        <f>IF(D68=0,0,E68*F68)</f>
        <v/>
      </c>
      <c r="H68" s="9">
        <f>IF(G68=0,0,D68/G68)</f>
        <v/>
      </c>
      <c r="I68" s="9">
        <f>IF(H68&lt;=0,0,LOG(H68,2))</f>
        <v/>
      </c>
      <c r="J68" s="9">
        <f>D68*I68</f>
        <v/>
      </c>
    </row>
    <row r="69">
      <c r="A69" s="7" t="n">
        <v>1</v>
      </c>
      <c r="B69" s="7" t="n">
        <v>0</v>
      </c>
      <c r="C69" s="8">
        <f>COUNTIFS(_Data_B!B:B,1,_Data_B!C:C,0)</f>
        <v/>
      </c>
      <c r="D69" s="9">
        <f>IF(C69=0,0,C69/502)</f>
        <v/>
      </c>
      <c r="E69" s="9">
        <f>IF(C69=0,0,COUNTIF(_Data_B!B:B,1)/502)</f>
        <v/>
      </c>
      <c r="F69" s="9">
        <f>IF(C69=0,0,COUNTIF(_Data_B!C:C,0)/502)</f>
        <v/>
      </c>
      <c r="G69" s="9">
        <f>IF(D69=0,0,E69*F69)</f>
        <v/>
      </c>
      <c r="H69" s="9">
        <f>IF(G69=0,0,D69/G69)</f>
        <v/>
      </c>
      <c r="I69" s="9">
        <f>IF(H69&lt;=0,0,LOG(H69,2))</f>
        <v/>
      </c>
      <c r="J69" s="9">
        <f>D69*I69</f>
        <v/>
      </c>
    </row>
    <row r="70">
      <c r="A70" s="7" t="n">
        <v>1</v>
      </c>
      <c r="B70" s="7" t="n">
        <v>1</v>
      </c>
      <c r="C70" s="8">
        <f>COUNTIFS(_Data_B!B:B,1,_Data_B!C:C,1)</f>
        <v/>
      </c>
      <c r="D70" s="9">
        <f>IF(C70=0,0,C70/502)</f>
        <v/>
      </c>
      <c r="E70" s="9">
        <f>IF(C70=0,0,COUNTIF(_Data_B!B:B,1)/502)</f>
        <v/>
      </c>
      <c r="F70" s="9">
        <f>IF(C70=0,0,COUNTIF(_Data_B!C:C,1)/502)</f>
        <v/>
      </c>
      <c r="G70" s="9">
        <f>IF(D70=0,0,E70*F70)</f>
        <v/>
      </c>
      <c r="H70" s="9">
        <f>IF(G70=0,0,D70/G70)</f>
        <v/>
      </c>
      <c r="I70" s="9">
        <f>IF(H70&lt;=0,0,LOG(H70,2))</f>
        <v/>
      </c>
      <c r="J70" s="9">
        <f>D70*I70</f>
        <v/>
      </c>
    </row>
    <row r="71">
      <c r="A71" s="7" t="n">
        <v>1</v>
      </c>
      <c r="B71" s="7" t="n">
        <v>2</v>
      </c>
      <c r="C71" s="8">
        <f>COUNTIFS(_Data_B!B:B,1,_Data_B!C:C,2)</f>
        <v/>
      </c>
      <c r="D71" s="9">
        <f>IF(C71=0,0,C71/502)</f>
        <v/>
      </c>
      <c r="E71" s="9">
        <f>IF(C71=0,0,COUNTIF(_Data_B!B:B,1)/502)</f>
        <v/>
      </c>
      <c r="F71" s="9">
        <f>IF(C71=0,0,COUNTIF(_Data_B!C:C,2)/502)</f>
        <v/>
      </c>
      <c r="G71" s="9">
        <f>IF(D71=0,0,E71*F71)</f>
        <v/>
      </c>
      <c r="H71" s="9">
        <f>IF(G71=0,0,D71/G71)</f>
        <v/>
      </c>
      <c r="I71" s="9">
        <f>IF(H71&lt;=0,0,LOG(H71,2))</f>
        <v/>
      </c>
      <c r="J71" s="9">
        <f>D71*I71</f>
        <v/>
      </c>
    </row>
    <row r="72">
      <c r="A72" s="2" t="inlineStr">
        <is>
          <t>IM(x2,x5) =</t>
        </is>
      </c>
      <c r="B72" s="26" t="n"/>
      <c r="C72" s="26" t="n"/>
      <c r="D72" s="26" t="n"/>
      <c r="E72" s="26" t="n"/>
      <c r="F72" s="26" t="n"/>
      <c r="G72" s="26" t="n"/>
      <c r="H72" s="26" t="n"/>
      <c r="I72" s="27" t="n"/>
      <c r="J72" s="11">
        <f>SUM(J66:J71)</f>
        <v/>
      </c>
    </row>
    <row r="75">
      <c r="A75" s="4" t="inlineStr">
        <is>
          <t>x2 — x4</t>
        </is>
      </c>
      <c r="B75" s="26" t="n"/>
      <c r="C75" s="26" t="n"/>
      <c r="D75" s="26" t="n"/>
      <c r="E75" s="26" t="n"/>
      <c r="F75" s="26" t="n"/>
      <c r="G75" s="26" t="n"/>
      <c r="H75" s="26" t="n"/>
      <c r="I75" s="26" t="n"/>
      <c r="J75" s="27" t="n"/>
    </row>
    <row r="76">
      <c r="A76" s="6" t="inlineStr">
        <is>
          <t>x2</t>
        </is>
      </c>
      <c r="B76" s="6" t="inlineStr">
        <is>
          <t>x4</t>
        </is>
      </c>
      <c r="C76" s="6" t="inlineStr">
        <is>
          <t>freq</t>
        </is>
      </c>
      <c r="D76" s="6" t="inlineStr">
        <is>
          <t>p(x2,x4)</t>
        </is>
      </c>
      <c r="E76" s="6" t="inlineStr">
        <is>
          <t>p(x2)</t>
        </is>
      </c>
      <c r="F76" s="6" t="inlineStr">
        <is>
          <t>p(x4)</t>
        </is>
      </c>
      <c r="G76" s="6" t="inlineStr">
        <is>
          <t>p(a)·p(b)</t>
        </is>
      </c>
      <c r="H76" s="6" t="inlineStr">
        <is>
          <t>ratio</t>
        </is>
      </c>
      <c r="I76" s="6" t="inlineStr">
        <is>
          <t>log₂(ratio)</t>
        </is>
      </c>
      <c r="J76" s="6" t="inlineStr">
        <is>
          <t>p·log₂(ratio)</t>
        </is>
      </c>
    </row>
    <row r="77">
      <c r="A77" s="7" t="n">
        <v>0</v>
      </c>
      <c r="B77" s="7" t="n">
        <v>0</v>
      </c>
      <c r="C77" s="8">
        <f>COUNTIFS(_Data_B!B:B,0,_Data_B!D:D,0)</f>
        <v/>
      </c>
      <c r="D77" s="9">
        <f>IF(C77=0,0,C77/502)</f>
        <v/>
      </c>
      <c r="E77" s="9">
        <f>IF(C77=0,0,COUNTIF(_Data_B!B:B,0)/502)</f>
        <v/>
      </c>
      <c r="F77" s="9">
        <f>IF(C77=0,0,COUNTIF(_Data_B!D:D,0)/502)</f>
        <v/>
      </c>
      <c r="G77" s="9">
        <f>IF(D77=0,0,E77*F77)</f>
        <v/>
      </c>
      <c r="H77" s="9">
        <f>IF(G77=0,0,D77/G77)</f>
        <v/>
      </c>
      <c r="I77" s="9">
        <f>IF(H77&lt;=0,0,LOG(H77,2))</f>
        <v/>
      </c>
      <c r="J77" s="9">
        <f>D77*I77</f>
        <v/>
      </c>
    </row>
    <row r="78">
      <c r="A78" s="7" t="n">
        <v>0</v>
      </c>
      <c r="B78" s="7" t="n">
        <v>1</v>
      </c>
      <c r="C78" s="8">
        <f>COUNTIFS(_Data_B!B:B,0,_Data_B!D:D,1)</f>
        <v/>
      </c>
      <c r="D78" s="9">
        <f>IF(C78=0,0,C78/502)</f>
        <v/>
      </c>
      <c r="E78" s="9">
        <f>IF(C78=0,0,COUNTIF(_Data_B!B:B,0)/502)</f>
        <v/>
      </c>
      <c r="F78" s="9">
        <f>IF(C78=0,0,COUNTIF(_Data_B!D:D,1)/502)</f>
        <v/>
      </c>
      <c r="G78" s="9">
        <f>IF(D78=0,0,E78*F78)</f>
        <v/>
      </c>
      <c r="H78" s="9">
        <f>IF(G78=0,0,D78/G78)</f>
        <v/>
      </c>
      <c r="I78" s="9">
        <f>IF(H78&lt;=0,0,LOG(H78,2))</f>
        <v/>
      </c>
      <c r="J78" s="9">
        <f>D78*I78</f>
        <v/>
      </c>
    </row>
    <row r="79">
      <c r="A79" s="7" t="n">
        <v>1</v>
      </c>
      <c r="B79" s="7" t="n">
        <v>0</v>
      </c>
      <c r="C79" s="8">
        <f>COUNTIFS(_Data_B!B:B,1,_Data_B!D:D,0)</f>
        <v/>
      </c>
      <c r="D79" s="9">
        <f>IF(C79=0,0,C79/502)</f>
        <v/>
      </c>
      <c r="E79" s="9">
        <f>IF(C79=0,0,COUNTIF(_Data_B!B:B,1)/502)</f>
        <v/>
      </c>
      <c r="F79" s="9">
        <f>IF(C79=0,0,COUNTIF(_Data_B!D:D,0)/502)</f>
        <v/>
      </c>
      <c r="G79" s="9">
        <f>IF(D79=0,0,E79*F79)</f>
        <v/>
      </c>
      <c r="H79" s="9">
        <f>IF(G79=0,0,D79/G79)</f>
        <v/>
      </c>
      <c r="I79" s="9">
        <f>IF(H79&lt;=0,0,LOG(H79,2))</f>
        <v/>
      </c>
      <c r="J79" s="9">
        <f>D79*I79</f>
        <v/>
      </c>
    </row>
    <row r="80">
      <c r="A80" s="7" t="n">
        <v>1</v>
      </c>
      <c r="B80" s="7" t="n">
        <v>1</v>
      </c>
      <c r="C80" s="8">
        <f>COUNTIFS(_Data_B!B:B,1,_Data_B!D:D,1)</f>
        <v/>
      </c>
      <c r="D80" s="9">
        <f>IF(C80=0,0,C80/502)</f>
        <v/>
      </c>
      <c r="E80" s="9">
        <f>IF(C80=0,0,COUNTIF(_Data_B!B:B,1)/502)</f>
        <v/>
      </c>
      <c r="F80" s="9">
        <f>IF(C80=0,0,COUNTIF(_Data_B!D:D,1)/502)</f>
        <v/>
      </c>
      <c r="G80" s="9">
        <f>IF(D80=0,0,E80*F80)</f>
        <v/>
      </c>
      <c r="H80" s="9">
        <f>IF(G80=0,0,D80/G80)</f>
        <v/>
      </c>
      <c r="I80" s="9">
        <f>IF(H80&lt;=0,0,LOG(H80,2))</f>
        <v/>
      </c>
      <c r="J80" s="9">
        <f>D80*I80</f>
        <v/>
      </c>
    </row>
    <row r="81">
      <c r="A81" s="2" t="inlineStr">
        <is>
          <t>IM(x2,x4) =</t>
        </is>
      </c>
      <c r="B81" s="26" t="n"/>
      <c r="C81" s="26" t="n"/>
      <c r="D81" s="26" t="n"/>
      <c r="E81" s="26" t="n"/>
      <c r="F81" s="26" t="n"/>
      <c r="G81" s="26" t="n"/>
      <c r="H81" s="26" t="n"/>
      <c r="I81" s="27" t="n"/>
      <c r="J81" s="11">
        <f>SUM(J77:J80)</f>
        <v/>
      </c>
    </row>
    <row r="84">
      <c r="A84" s="4" t="inlineStr">
        <is>
          <t>x2 — x6</t>
        </is>
      </c>
      <c r="B84" s="26" t="n"/>
      <c r="C84" s="26" t="n"/>
      <c r="D84" s="26" t="n"/>
      <c r="E84" s="26" t="n"/>
      <c r="F84" s="26" t="n"/>
      <c r="G84" s="26" t="n"/>
      <c r="H84" s="26" t="n"/>
      <c r="I84" s="26" t="n"/>
      <c r="J84" s="27" t="n"/>
    </row>
    <row r="85">
      <c r="A85" s="6" t="inlineStr">
        <is>
          <t>x2</t>
        </is>
      </c>
      <c r="B85" s="6" t="inlineStr">
        <is>
          <t>x6</t>
        </is>
      </c>
      <c r="C85" s="6" t="inlineStr">
        <is>
          <t>freq</t>
        </is>
      </c>
      <c r="D85" s="6" t="inlineStr">
        <is>
          <t>p(x2,x6)</t>
        </is>
      </c>
      <c r="E85" s="6" t="inlineStr">
        <is>
          <t>p(x2)</t>
        </is>
      </c>
      <c r="F85" s="6" t="inlineStr">
        <is>
          <t>p(x6)</t>
        </is>
      </c>
      <c r="G85" s="6" t="inlineStr">
        <is>
          <t>p(a)·p(b)</t>
        </is>
      </c>
      <c r="H85" s="6" t="inlineStr">
        <is>
          <t>ratio</t>
        </is>
      </c>
      <c r="I85" s="6" t="inlineStr">
        <is>
          <t>log₂(ratio)</t>
        </is>
      </c>
      <c r="J85" s="6" t="inlineStr">
        <is>
          <t>p·log₂(ratio)</t>
        </is>
      </c>
    </row>
    <row r="86">
      <c r="A86" s="7" t="n">
        <v>0</v>
      </c>
      <c r="B86" s="7" t="n">
        <v>0</v>
      </c>
      <c r="C86" s="8">
        <f>COUNTIFS(_Data_B!B:B,0,_Data_B!E:E,0)</f>
        <v/>
      </c>
      <c r="D86" s="9">
        <f>IF(C86=0,0,C86/502)</f>
        <v/>
      </c>
      <c r="E86" s="9">
        <f>IF(C86=0,0,COUNTIF(_Data_B!B:B,0)/502)</f>
        <v/>
      </c>
      <c r="F86" s="9">
        <f>IF(C86=0,0,COUNTIF(_Data_B!E:E,0)/502)</f>
        <v/>
      </c>
      <c r="G86" s="9">
        <f>IF(D86=0,0,E86*F86)</f>
        <v/>
      </c>
      <c r="H86" s="9">
        <f>IF(G86=0,0,D86/G86)</f>
        <v/>
      </c>
      <c r="I86" s="9">
        <f>IF(H86&lt;=0,0,LOG(H86,2))</f>
        <v/>
      </c>
      <c r="J86" s="9">
        <f>D86*I86</f>
        <v/>
      </c>
    </row>
    <row r="87">
      <c r="A87" s="7" t="n">
        <v>0</v>
      </c>
      <c r="B87" s="7" t="n">
        <v>1</v>
      </c>
      <c r="C87" s="8">
        <f>COUNTIFS(_Data_B!B:B,0,_Data_B!E:E,1)</f>
        <v/>
      </c>
      <c r="D87" s="9">
        <f>IF(C87=0,0,C87/502)</f>
        <v/>
      </c>
      <c r="E87" s="9">
        <f>IF(C87=0,0,COUNTIF(_Data_B!B:B,0)/502)</f>
        <v/>
      </c>
      <c r="F87" s="9">
        <f>IF(C87=0,0,COUNTIF(_Data_B!E:E,1)/502)</f>
        <v/>
      </c>
      <c r="G87" s="9">
        <f>IF(D87=0,0,E87*F87)</f>
        <v/>
      </c>
      <c r="H87" s="9">
        <f>IF(G87=0,0,D87/G87)</f>
        <v/>
      </c>
      <c r="I87" s="9">
        <f>IF(H87&lt;=0,0,LOG(H87,2))</f>
        <v/>
      </c>
      <c r="J87" s="9">
        <f>D87*I87</f>
        <v/>
      </c>
    </row>
    <row r="88">
      <c r="A88" s="7" t="n">
        <v>1</v>
      </c>
      <c r="B88" s="7" t="n">
        <v>0</v>
      </c>
      <c r="C88" s="8">
        <f>COUNTIFS(_Data_B!B:B,1,_Data_B!E:E,0)</f>
        <v/>
      </c>
      <c r="D88" s="9">
        <f>IF(C88=0,0,C88/502)</f>
        <v/>
      </c>
      <c r="E88" s="9">
        <f>IF(C88=0,0,COUNTIF(_Data_B!B:B,1)/502)</f>
        <v/>
      </c>
      <c r="F88" s="9">
        <f>IF(C88=0,0,COUNTIF(_Data_B!E:E,0)/502)</f>
        <v/>
      </c>
      <c r="G88" s="9">
        <f>IF(D88=0,0,E88*F88)</f>
        <v/>
      </c>
      <c r="H88" s="9">
        <f>IF(G88=0,0,D88/G88)</f>
        <v/>
      </c>
      <c r="I88" s="9">
        <f>IF(H88&lt;=0,0,LOG(H88,2))</f>
        <v/>
      </c>
      <c r="J88" s="9">
        <f>D88*I88</f>
        <v/>
      </c>
    </row>
    <row r="89">
      <c r="A89" s="7" t="n">
        <v>1</v>
      </c>
      <c r="B89" s="7" t="n">
        <v>1</v>
      </c>
      <c r="C89" s="8">
        <f>COUNTIFS(_Data_B!B:B,1,_Data_B!E:E,1)</f>
        <v/>
      </c>
      <c r="D89" s="9">
        <f>IF(C89=0,0,C89/502)</f>
        <v/>
      </c>
      <c r="E89" s="9">
        <f>IF(C89=0,0,COUNTIF(_Data_B!B:B,1)/502)</f>
        <v/>
      </c>
      <c r="F89" s="9">
        <f>IF(C89=0,0,COUNTIF(_Data_B!E:E,1)/502)</f>
        <v/>
      </c>
      <c r="G89" s="9">
        <f>IF(D89=0,0,E89*F89)</f>
        <v/>
      </c>
      <c r="H89" s="9">
        <f>IF(G89=0,0,D89/G89)</f>
        <v/>
      </c>
      <c r="I89" s="9">
        <f>IF(H89&lt;=0,0,LOG(H89,2))</f>
        <v/>
      </c>
      <c r="J89" s="9">
        <f>D89*I89</f>
        <v/>
      </c>
    </row>
    <row r="90">
      <c r="A90" s="2" t="inlineStr">
        <is>
          <t>IM(x2,x6) =</t>
        </is>
      </c>
      <c r="B90" s="26" t="n"/>
      <c r="C90" s="26" t="n"/>
      <c r="D90" s="26" t="n"/>
      <c r="E90" s="26" t="n"/>
      <c r="F90" s="26" t="n"/>
      <c r="G90" s="26" t="n"/>
      <c r="H90" s="26" t="n"/>
      <c r="I90" s="27" t="n"/>
      <c r="J90" s="11">
        <f>SUM(J86:J89)</f>
        <v/>
      </c>
    </row>
    <row r="93">
      <c r="A93" s="4" t="inlineStr">
        <is>
          <t>x2 — x9</t>
        </is>
      </c>
      <c r="B93" s="26" t="n"/>
      <c r="C93" s="26" t="n"/>
      <c r="D93" s="26" t="n"/>
      <c r="E93" s="26" t="n"/>
      <c r="F93" s="26" t="n"/>
      <c r="G93" s="26" t="n"/>
      <c r="H93" s="26" t="n"/>
      <c r="I93" s="26" t="n"/>
      <c r="J93" s="27" t="n"/>
    </row>
    <row r="94">
      <c r="A94" s="6" t="inlineStr">
        <is>
          <t>x2</t>
        </is>
      </c>
      <c r="B94" s="6" t="inlineStr">
        <is>
          <t>x9</t>
        </is>
      </c>
      <c r="C94" s="6" t="inlineStr">
        <is>
          <t>freq</t>
        </is>
      </c>
      <c r="D94" s="6" t="inlineStr">
        <is>
          <t>p(x2,x9)</t>
        </is>
      </c>
      <c r="E94" s="6" t="inlineStr">
        <is>
          <t>p(x2)</t>
        </is>
      </c>
      <c r="F94" s="6" t="inlineStr">
        <is>
          <t>p(x9)</t>
        </is>
      </c>
      <c r="G94" s="6" t="inlineStr">
        <is>
          <t>p(a)·p(b)</t>
        </is>
      </c>
      <c r="H94" s="6" t="inlineStr">
        <is>
          <t>ratio</t>
        </is>
      </c>
      <c r="I94" s="6" t="inlineStr">
        <is>
          <t>log₂(ratio)</t>
        </is>
      </c>
      <c r="J94" s="6" t="inlineStr">
        <is>
          <t>p·log₂(ratio)</t>
        </is>
      </c>
    </row>
    <row r="95">
      <c r="A95" s="7" t="n">
        <v>0</v>
      </c>
      <c r="B95" s="7" t="n">
        <v>0</v>
      </c>
      <c r="C95" s="8">
        <f>COUNTIFS(_Data_B!B:B,0,_Data_B!F:F,0)</f>
        <v/>
      </c>
      <c r="D95" s="9">
        <f>IF(C95=0,0,C95/502)</f>
        <v/>
      </c>
      <c r="E95" s="9">
        <f>IF(C95=0,0,COUNTIF(_Data_B!B:B,0)/502)</f>
        <v/>
      </c>
      <c r="F95" s="9">
        <f>IF(C95=0,0,COUNTIF(_Data_B!F:F,0)/502)</f>
        <v/>
      </c>
      <c r="G95" s="9">
        <f>IF(D95=0,0,E95*F95)</f>
        <v/>
      </c>
      <c r="H95" s="9">
        <f>IF(G95=0,0,D95/G95)</f>
        <v/>
      </c>
      <c r="I95" s="9">
        <f>IF(H95&lt;=0,0,LOG(H95,2))</f>
        <v/>
      </c>
      <c r="J95" s="9">
        <f>D95*I95</f>
        <v/>
      </c>
    </row>
    <row r="96">
      <c r="A96" s="7" t="n">
        <v>0</v>
      </c>
      <c r="B96" s="7" t="n">
        <v>1</v>
      </c>
      <c r="C96" s="8">
        <f>COUNTIFS(_Data_B!B:B,0,_Data_B!F:F,1)</f>
        <v/>
      </c>
      <c r="D96" s="9">
        <f>IF(C96=0,0,C96/502)</f>
        <v/>
      </c>
      <c r="E96" s="9">
        <f>IF(C96=0,0,COUNTIF(_Data_B!B:B,0)/502)</f>
        <v/>
      </c>
      <c r="F96" s="9">
        <f>IF(C96=0,0,COUNTIF(_Data_B!F:F,1)/502)</f>
        <v/>
      </c>
      <c r="G96" s="9">
        <f>IF(D96=0,0,E96*F96)</f>
        <v/>
      </c>
      <c r="H96" s="9">
        <f>IF(G96=0,0,D96/G96)</f>
        <v/>
      </c>
      <c r="I96" s="9">
        <f>IF(H96&lt;=0,0,LOG(H96,2))</f>
        <v/>
      </c>
      <c r="J96" s="9">
        <f>D96*I96</f>
        <v/>
      </c>
    </row>
    <row r="97">
      <c r="A97" s="7" t="n">
        <v>0</v>
      </c>
      <c r="B97" s="7" t="n">
        <v>2</v>
      </c>
      <c r="C97" s="8">
        <f>COUNTIFS(_Data_B!B:B,0,_Data_B!F:F,2)</f>
        <v/>
      </c>
      <c r="D97" s="9">
        <f>IF(C97=0,0,C97/502)</f>
        <v/>
      </c>
      <c r="E97" s="9">
        <f>IF(C97=0,0,COUNTIF(_Data_B!B:B,0)/502)</f>
        <v/>
      </c>
      <c r="F97" s="9">
        <f>IF(C97=0,0,COUNTIF(_Data_B!F:F,2)/502)</f>
        <v/>
      </c>
      <c r="G97" s="9">
        <f>IF(D97=0,0,E97*F97)</f>
        <v/>
      </c>
      <c r="H97" s="9">
        <f>IF(G97=0,0,D97/G97)</f>
        <v/>
      </c>
      <c r="I97" s="9">
        <f>IF(H97&lt;=0,0,LOG(H97,2))</f>
        <v/>
      </c>
      <c r="J97" s="9">
        <f>D97*I97</f>
        <v/>
      </c>
    </row>
    <row r="98">
      <c r="A98" s="7" t="n">
        <v>0</v>
      </c>
      <c r="B98" s="7" t="n">
        <v>3</v>
      </c>
      <c r="C98" s="8">
        <f>COUNTIFS(_Data_B!B:B,0,_Data_B!F:F,3)</f>
        <v/>
      </c>
      <c r="D98" s="9">
        <f>IF(C98=0,0,C98/502)</f>
        <v/>
      </c>
      <c r="E98" s="9">
        <f>IF(C98=0,0,COUNTIF(_Data_B!B:B,0)/502)</f>
        <v/>
      </c>
      <c r="F98" s="9">
        <f>IF(C98=0,0,COUNTIF(_Data_B!F:F,3)/502)</f>
        <v/>
      </c>
      <c r="G98" s="9">
        <f>IF(D98=0,0,E98*F98)</f>
        <v/>
      </c>
      <c r="H98" s="9">
        <f>IF(G98=0,0,D98/G98)</f>
        <v/>
      </c>
      <c r="I98" s="9">
        <f>IF(H98&lt;=0,0,LOG(H98,2))</f>
        <v/>
      </c>
      <c r="J98" s="9">
        <f>D98*I98</f>
        <v/>
      </c>
    </row>
    <row r="99">
      <c r="A99" s="7" t="n">
        <v>1</v>
      </c>
      <c r="B99" s="7" t="n">
        <v>0</v>
      </c>
      <c r="C99" s="8">
        <f>COUNTIFS(_Data_B!B:B,1,_Data_B!F:F,0)</f>
        <v/>
      </c>
      <c r="D99" s="9">
        <f>IF(C99=0,0,C99/502)</f>
        <v/>
      </c>
      <c r="E99" s="9">
        <f>IF(C99=0,0,COUNTIF(_Data_B!B:B,1)/502)</f>
        <v/>
      </c>
      <c r="F99" s="9">
        <f>IF(C99=0,0,COUNTIF(_Data_B!F:F,0)/502)</f>
        <v/>
      </c>
      <c r="G99" s="9">
        <f>IF(D99=0,0,E99*F99)</f>
        <v/>
      </c>
      <c r="H99" s="9">
        <f>IF(G99=0,0,D99/G99)</f>
        <v/>
      </c>
      <c r="I99" s="9">
        <f>IF(H99&lt;=0,0,LOG(H99,2))</f>
        <v/>
      </c>
      <c r="J99" s="9">
        <f>D99*I99</f>
        <v/>
      </c>
    </row>
    <row r="100">
      <c r="A100" s="7" t="n">
        <v>1</v>
      </c>
      <c r="B100" s="7" t="n">
        <v>1</v>
      </c>
      <c r="C100" s="8">
        <f>COUNTIFS(_Data_B!B:B,1,_Data_B!F:F,1)</f>
        <v/>
      </c>
      <c r="D100" s="9">
        <f>IF(C100=0,0,C100/502)</f>
        <v/>
      </c>
      <c r="E100" s="9">
        <f>IF(C100=0,0,COUNTIF(_Data_B!B:B,1)/502)</f>
        <v/>
      </c>
      <c r="F100" s="9">
        <f>IF(C100=0,0,COUNTIF(_Data_B!F:F,1)/502)</f>
        <v/>
      </c>
      <c r="G100" s="9">
        <f>IF(D100=0,0,E100*F100)</f>
        <v/>
      </c>
      <c r="H100" s="9">
        <f>IF(G100=0,0,D100/G100)</f>
        <v/>
      </c>
      <c r="I100" s="9">
        <f>IF(H100&lt;=0,0,LOG(H100,2))</f>
        <v/>
      </c>
      <c r="J100" s="9">
        <f>D100*I100</f>
        <v/>
      </c>
    </row>
    <row r="101">
      <c r="A101" s="7" t="n">
        <v>1</v>
      </c>
      <c r="B101" s="7" t="n">
        <v>2</v>
      </c>
      <c r="C101" s="8">
        <f>COUNTIFS(_Data_B!B:B,1,_Data_B!F:F,2)</f>
        <v/>
      </c>
      <c r="D101" s="9">
        <f>IF(C101=0,0,C101/502)</f>
        <v/>
      </c>
      <c r="E101" s="9">
        <f>IF(C101=0,0,COUNTIF(_Data_B!B:B,1)/502)</f>
        <v/>
      </c>
      <c r="F101" s="9">
        <f>IF(C101=0,0,COUNTIF(_Data_B!F:F,2)/502)</f>
        <v/>
      </c>
      <c r="G101" s="9">
        <f>IF(D101=0,0,E101*F101)</f>
        <v/>
      </c>
      <c r="H101" s="9">
        <f>IF(G101=0,0,D101/G101)</f>
        <v/>
      </c>
      <c r="I101" s="9">
        <f>IF(H101&lt;=0,0,LOG(H101,2))</f>
        <v/>
      </c>
      <c r="J101" s="9">
        <f>D101*I101</f>
        <v/>
      </c>
    </row>
    <row r="102">
      <c r="A102" s="7" t="n">
        <v>1</v>
      </c>
      <c r="B102" s="7" t="n">
        <v>3</v>
      </c>
      <c r="C102" s="8">
        <f>COUNTIFS(_Data_B!B:B,1,_Data_B!F:F,3)</f>
        <v/>
      </c>
      <c r="D102" s="9">
        <f>IF(C102=0,0,C102/502)</f>
        <v/>
      </c>
      <c r="E102" s="9">
        <f>IF(C102=0,0,COUNTIF(_Data_B!B:B,1)/502)</f>
        <v/>
      </c>
      <c r="F102" s="9">
        <f>IF(C102=0,0,COUNTIF(_Data_B!F:F,3)/502)</f>
        <v/>
      </c>
      <c r="G102" s="9">
        <f>IF(D102=0,0,E102*F102)</f>
        <v/>
      </c>
      <c r="H102" s="9">
        <f>IF(G102=0,0,D102/G102)</f>
        <v/>
      </c>
      <c r="I102" s="9">
        <f>IF(H102&lt;=0,0,LOG(H102,2))</f>
        <v/>
      </c>
      <c r="J102" s="9">
        <f>D102*I102</f>
        <v/>
      </c>
    </row>
    <row r="103">
      <c r="A103" s="2" t="inlineStr">
        <is>
          <t>IM(x2,x9) =</t>
        </is>
      </c>
      <c r="B103" s="26" t="n"/>
      <c r="C103" s="26" t="n"/>
      <c r="D103" s="26" t="n"/>
      <c r="E103" s="26" t="n"/>
      <c r="F103" s="26" t="n"/>
      <c r="G103" s="26" t="n"/>
      <c r="H103" s="26" t="n"/>
      <c r="I103" s="27" t="n"/>
      <c r="J103" s="11">
        <f>SUM(J95:J102)</f>
        <v/>
      </c>
    </row>
    <row r="106">
      <c r="A106" s="4" t="inlineStr">
        <is>
          <t>x2 — x3</t>
        </is>
      </c>
      <c r="B106" s="26" t="n"/>
      <c r="C106" s="26" t="n"/>
      <c r="D106" s="26" t="n"/>
      <c r="E106" s="26" t="n"/>
      <c r="F106" s="26" t="n"/>
      <c r="G106" s="26" t="n"/>
      <c r="H106" s="26" t="n"/>
      <c r="I106" s="26" t="n"/>
      <c r="J106" s="27" t="n"/>
    </row>
    <row r="107">
      <c r="A107" s="6" t="inlineStr">
        <is>
          <t>x2</t>
        </is>
      </c>
      <c r="B107" s="6" t="inlineStr">
        <is>
          <t>x3</t>
        </is>
      </c>
      <c r="C107" s="6" t="inlineStr">
        <is>
          <t>freq</t>
        </is>
      </c>
      <c r="D107" s="6" t="inlineStr">
        <is>
          <t>p(x2,x3)</t>
        </is>
      </c>
      <c r="E107" s="6" t="inlineStr">
        <is>
          <t>p(x2)</t>
        </is>
      </c>
      <c r="F107" s="6" t="inlineStr">
        <is>
          <t>p(x3)</t>
        </is>
      </c>
      <c r="G107" s="6" t="inlineStr">
        <is>
          <t>p(a)·p(b)</t>
        </is>
      </c>
      <c r="H107" s="6" t="inlineStr">
        <is>
          <t>ratio</t>
        </is>
      </c>
      <c r="I107" s="6" t="inlineStr">
        <is>
          <t>log₂(ratio)</t>
        </is>
      </c>
      <c r="J107" s="6" t="inlineStr">
        <is>
          <t>p·log₂(ratio)</t>
        </is>
      </c>
    </row>
    <row r="108">
      <c r="A108" s="7" t="n">
        <v>0</v>
      </c>
      <c r="B108" s="7" t="n">
        <v>0</v>
      </c>
      <c r="C108" s="8">
        <f>COUNTIFS(_Data_B!B:B,0,_Data_B!G:G,0)</f>
        <v/>
      </c>
      <c r="D108" s="9">
        <f>IF(C108=0,0,C108/502)</f>
        <v/>
      </c>
      <c r="E108" s="9">
        <f>IF(C108=0,0,COUNTIF(_Data_B!B:B,0)/502)</f>
        <v/>
      </c>
      <c r="F108" s="9">
        <f>IF(C108=0,0,COUNTIF(_Data_B!G:G,0)/502)</f>
        <v/>
      </c>
      <c r="G108" s="9">
        <f>IF(D108=0,0,E108*F108)</f>
        <v/>
      </c>
      <c r="H108" s="9">
        <f>IF(G108=0,0,D108/G108)</f>
        <v/>
      </c>
      <c r="I108" s="9">
        <f>IF(H108&lt;=0,0,LOG(H108,2))</f>
        <v/>
      </c>
      <c r="J108" s="9">
        <f>D108*I108</f>
        <v/>
      </c>
    </row>
    <row r="109">
      <c r="A109" s="7" t="n">
        <v>0</v>
      </c>
      <c r="B109" s="7" t="n">
        <v>1</v>
      </c>
      <c r="C109" s="8">
        <f>COUNTIFS(_Data_B!B:B,0,_Data_B!G:G,1)</f>
        <v/>
      </c>
      <c r="D109" s="9">
        <f>IF(C109=0,0,C109/502)</f>
        <v/>
      </c>
      <c r="E109" s="9">
        <f>IF(C109=0,0,COUNTIF(_Data_B!B:B,0)/502)</f>
        <v/>
      </c>
      <c r="F109" s="9">
        <f>IF(C109=0,0,COUNTIF(_Data_B!G:G,1)/502)</f>
        <v/>
      </c>
      <c r="G109" s="9">
        <f>IF(D109=0,0,E109*F109)</f>
        <v/>
      </c>
      <c r="H109" s="9">
        <f>IF(G109=0,0,D109/G109)</f>
        <v/>
      </c>
      <c r="I109" s="9">
        <f>IF(H109&lt;=0,0,LOG(H109,2))</f>
        <v/>
      </c>
      <c r="J109" s="9">
        <f>D109*I109</f>
        <v/>
      </c>
    </row>
    <row r="110">
      <c r="A110" s="7" t="n">
        <v>1</v>
      </c>
      <c r="B110" s="7" t="n">
        <v>0</v>
      </c>
      <c r="C110" s="8">
        <f>COUNTIFS(_Data_B!B:B,1,_Data_B!G:G,0)</f>
        <v/>
      </c>
      <c r="D110" s="9">
        <f>IF(C110=0,0,C110/502)</f>
        <v/>
      </c>
      <c r="E110" s="9">
        <f>IF(C110=0,0,COUNTIF(_Data_B!B:B,1)/502)</f>
        <v/>
      </c>
      <c r="F110" s="9">
        <f>IF(C110=0,0,COUNTIF(_Data_B!G:G,0)/502)</f>
        <v/>
      </c>
      <c r="G110" s="9">
        <f>IF(D110=0,0,E110*F110)</f>
        <v/>
      </c>
      <c r="H110" s="9">
        <f>IF(G110=0,0,D110/G110)</f>
        <v/>
      </c>
      <c r="I110" s="9">
        <f>IF(H110&lt;=0,0,LOG(H110,2))</f>
        <v/>
      </c>
      <c r="J110" s="9">
        <f>D110*I110</f>
        <v/>
      </c>
    </row>
    <row r="111">
      <c r="A111" s="7" t="n">
        <v>1</v>
      </c>
      <c r="B111" s="7" t="n">
        <v>1</v>
      </c>
      <c r="C111" s="8">
        <f>COUNTIFS(_Data_B!B:B,1,_Data_B!G:G,1)</f>
        <v/>
      </c>
      <c r="D111" s="9">
        <f>IF(C111=0,0,C111/502)</f>
        <v/>
      </c>
      <c r="E111" s="9">
        <f>IF(C111=0,0,COUNTIF(_Data_B!B:B,1)/502)</f>
        <v/>
      </c>
      <c r="F111" s="9">
        <f>IF(C111=0,0,COUNTIF(_Data_B!G:G,1)/502)</f>
        <v/>
      </c>
      <c r="G111" s="9">
        <f>IF(D111=0,0,E111*F111)</f>
        <v/>
      </c>
      <c r="H111" s="9">
        <f>IF(G111=0,0,D111/G111)</f>
        <v/>
      </c>
      <c r="I111" s="9">
        <f>IF(H111&lt;=0,0,LOG(H111,2))</f>
        <v/>
      </c>
      <c r="J111" s="9">
        <f>D111*I111</f>
        <v/>
      </c>
    </row>
    <row r="112">
      <c r="A112" s="2" t="inlineStr">
        <is>
          <t>IM(x2,x3) =</t>
        </is>
      </c>
      <c r="B112" s="26" t="n"/>
      <c r="C112" s="26" t="n"/>
      <c r="D112" s="26" t="n"/>
      <c r="E112" s="26" t="n"/>
      <c r="F112" s="26" t="n"/>
      <c r="G112" s="26" t="n"/>
      <c r="H112" s="26" t="n"/>
      <c r="I112" s="27" t="n"/>
      <c r="J112" s="11">
        <f>SUM(J108:J111)</f>
        <v/>
      </c>
    </row>
    <row r="115">
      <c r="A115" s="4" t="inlineStr">
        <is>
          <t>x5 — x4</t>
        </is>
      </c>
      <c r="B115" s="26" t="n"/>
      <c r="C115" s="26" t="n"/>
      <c r="D115" s="26" t="n"/>
      <c r="E115" s="26" t="n"/>
      <c r="F115" s="26" t="n"/>
      <c r="G115" s="26" t="n"/>
      <c r="H115" s="26" t="n"/>
      <c r="I115" s="26" t="n"/>
      <c r="J115" s="27" t="n"/>
    </row>
    <row r="116">
      <c r="A116" s="6" t="inlineStr">
        <is>
          <t>x5</t>
        </is>
      </c>
      <c r="B116" s="6" t="inlineStr">
        <is>
          <t>x4</t>
        </is>
      </c>
      <c r="C116" s="6" t="inlineStr">
        <is>
          <t>freq</t>
        </is>
      </c>
      <c r="D116" s="6" t="inlineStr">
        <is>
          <t>p(x5,x4)</t>
        </is>
      </c>
      <c r="E116" s="6" t="inlineStr">
        <is>
          <t>p(x5)</t>
        </is>
      </c>
      <c r="F116" s="6" t="inlineStr">
        <is>
          <t>p(x4)</t>
        </is>
      </c>
      <c r="G116" s="6" t="inlineStr">
        <is>
          <t>p(a)·p(b)</t>
        </is>
      </c>
      <c r="H116" s="6" t="inlineStr">
        <is>
          <t>ratio</t>
        </is>
      </c>
      <c r="I116" s="6" t="inlineStr">
        <is>
          <t>log₂(ratio)</t>
        </is>
      </c>
      <c r="J116" s="6" t="inlineStr">
        <is>
          <t>p·log₂(ratio)</t>
        </is>
      </c>
    </row>
    <row r="117">
      <c r="A117" s="7" t="n">
        <v>0</v>
      </c>
      <c r="B117" s="7" t="n">
        <v>0</v>
      </c>
      <c r="C117" s="8">
        <f>COUNTIFS(_Data_B!C:C,0,_Data_B!D:D,0)</f>
        <v/>
      </c>
      <c r="D117" s="9">
        <f>IF(C117=0,0,C117/502)</f>
        <v/>
      </c>
      <c r="E117" s="9">
        <f>IF(C117=0,0,COUNTIF(_Data_B!C:C,0)/502)</f>
        <v/>
      </c>
      <c r="F117" s="9">
        <f>IF(C117=0,0,COUNTIF(_Data_B!D:D,0)/502)</f>
        <v/>
      </c>
      <c r="G117" s="9">
        <f>IF(D117=0,0,E117*F117)</f>
        <v/>
      </c>
      <c r="H117" s="9">
        <f>IF(G117=0,0,D117/G117)</f>
        <v/>
      </c>
      <c r="I117" s="9">
        <f>IF(H117&lt;=0,0,LOG(H117,2))</f>
        <v/>
      </c>
      <c r="J117" s="9">
        <f>D117*I117</f>
        <v/>
      </c>
    </row>
    <row r="118">
      <c r="A118" s="7" t="n">
        <v>0</v>
      </c>
      <c r="B118" s="7" t="n">
        <v>1</v>
      </c>
      <c r="C118" s="8">
        <f>COUNTIFS(_Data_B!C:C,0,_Data_B!D:D,1)</f>
        <v/>
      </c>
      <c r="D118" s="9">
        <f>IF(C118=0,0,C118/502)</f>
        <v/>
      </c>
      <c r="E118" s="9">
        <f>IF(C118=0,0,COUNTIF(_Data_B!C:C,0)/502)</f>
        <v/>
      </c>
      <c r="F118" s="9">
        <f>IF(C118=0,0,COUNTIF(_Data_B!D:D,1)/502)</f>
        <v/>
      </c>
      <c r="G118" s="9">
        <f>IF(D118=0,0,E118*F118)</f>
        <v/>
      </c>
      <c r="H118" s="9">
        <f>IF(G118=0,0,D118/G118)</f>
        <v/>
      </c>
      <c r="I118" s="9">
        <f>IF(H118&lt;=0,0,LOG(H118,2))</f>
        <v/>
      </c>
      <c r="J118" s="9">
        <f>D118*I118</f>
        <v/>
      </c>
    </row>
    <row r="119">
      <c r="A119" s="7" t="n">
        <v>1</v>
      </c>
      <c r="B119" s="7" t="n">
        <v>0</v>
      </c>
      <c r="C119" s="8">
        <f>COUNTIFS(_Data_B!C:C,1,_Data_B!D:D,0)</f>
        <v/>
      </c>
      <c r="D119" s="9">
        <f>IF(C119=0,0,C119/502)</f>
        <v/>
      </c>
      <c r="E119" s="9">
        <f>IF(C119=0,0,COUNTIF(_Data_B!C:C,1)/502)</f>
        <v/>
      </c>
      <c r="F119" s="9">
        <f>IF(C119=0,0,COUNTIF(_Data_B!D:D,0)/502)</f>
        <v/>
      </c>
      <c r="G119" s="9">
        <f>IF(D119=0,0,E119*F119)</f>
        <v/>
      </c>
      <c r="H119" s="9">
        <f>IF(G119=0,0,D119/G119)</f>
        <v/>
      </c>
      <c r="I119" s="9">
        <f>IF(H119&lt;=0,0,LOG(H119,2))</f>
        <v/>
      </c>
      <c r="J119" s="9">
        <f>D119*I119</f>
        <v/>
      </c>
    </row>
    <row r="120">
      <c r="A120" s="7" t="n">
        <v>1</v>
      </c>
      <c r="B120" s="7" t="n">
        <v>1</v>
      </c>
      <c r="C120" s="8">
        <f>COUNTIFS(_Data_B!C:C,1,_Data_B!D:D,1)</f>
        <v/>
      </c>
      <c r="D120" s="9">
        <f>IF(C120=0,0,C120/502)</f>
        <v/>
      </c>
      <c r="E120" s="9">
        <f>IF(C120=0,0,COUNTIF(_Data_B!C:C,1)/502)</f>
        <v/>
      </c>
      <c r="F120" s="9">
        <f>IF(C120=0,0,COUNTIF(_Data_B!D:D,1)/502)</f>
        <v/>
      </c>
      <c r="G120" s="9">
        <f>IF(D120=0,0,E120*F120)</f>
        <v/>
      </c>
      <c r="H120" s="9">
        <f>IF(G120=0,0,D120/G120)</f>
        <v/>
      </c>
      <c r="I120" s="9">
        <f>IF(H120&lt;=0,0,LOG(H120,2))</f>
        <v/>
      </c>
      <c r="J120" s="9">
        <f>D120*I120</f>
        <v/>
      </c>
    </row>
    <row r="121">
      <c r="A121" s="7" t="n">
        <v>2</v>
      </c>
      <c r="B121" s="7" t="n">
        <v>0</v>
      </c>
      <c r="C121" s="8">
        <f>COUNTIFS(_Data_B!C:C,2,_Data_B!D:D,0)</f>
        <v/>
      </c>
      <c r="D121" s="9">
        <f>IF(C121=0,0,C121/502)</f>
        <v/>
      </c>
      <c r="E121" s="9">
        <f>IF(C121=0,0,COUNTIF(_Data_B!C:C,2)/502)</f>
        <v/>
      </c>
      <c r="F121" s="9">
        <f>IF(C121=0,0,COUNTIF(_Data_B!D:D,0)/502)</f>
        <v/>
      </c>
      <c r="G121" s="9">
        <f>IF(D121=0,0,E121*F121)</f>
        <v/>
      </c>
      <c r="H121" s="9">
        <f>IF(G121=0,0,D121/G121)</f>
        <v/>
      </c>
      <c r="I121" s="9">
        <f>IF(H121&lt;=0,0,LOG(H121,2))</f>
        <v/>
      </c>
      <c r="J121" s="9">
        <f>D121*I121</f>
        <v/>
      </c>
    </row>
    <row r="122">
      <c r="A122" s="7" t="n">
        <v>2</v>
      </c>
      <c r="B122" s="7" t="n">
        <v>1</v>
      </c>
      <c r="C122" s="8">
        <f>COUNTIFS(_Data_B!C:C,2,_Data_B!D:D,1)</f>
        <v/>
      </c>
      <c r="D122" s="9">
        <f>IF(C122=0,0,C122/502)</f>
        <v/>
      </c>
      <c r="E122" s="9">
        <f>IF(C122=0,0,COUNTIF(_Data_B!C:C,2)/502)</f>
        <v/>
      </c>
      <c r="F122" s="9">
        <f>IF(C122=0,0,COUNTIF(_Data_B!D:D,1)/502)</f>
        <v/>
      </c>
      <c r="G122" s="9">
        <f>IF(D122=0,0,E122*F122)</f>
        <v/>
      </c>
      <c r="H122" s="9">
        <f>IF(G122=0,0,D122/G122)</f>
        <v/>
      </c>
      <c r="I122" s="9">
        <f>IF(H122&lt;=0,0,LOG(H122,2))</f>
        <v/>
      </c>
      <c r="J122" s="9">
        <f>D122*I122</f>
        <v/>
      </c>
    </row>
    <row r="123">
      <c r="A123" s="2" t="inlineStr">
        <is>
          <t>IM(x5,x4) =</t>
        </is>
      </c>
      <c r="B123" s="26" t="n"/>
      <c r="C123" s="26" t="n"/>
      <c r="D123" s="26" t="n"/>
      <c r="E123" s="26" t="n"/>
      <c r="F123" s="26" t="n"/>
      <c r="G123" s="26" t="n"/>
      <c r="H123" s="26" t="n"/>
      <c r="I123" s="27" t="n"/>
      <c r="J123" s="11">
        <f>SUM(J117:J122)</f>
        <v/>
      </c>
    </row>
    <row r="126">
      <c r="A126" s="4" t="inlineStr">
        <is>
          <t>x5 — x6</t>
        </is>
      </c>
      <c r="B126" s="26" t="n"/>
      <c r="C126" s="26" t="n"/>
      <c r="D126" s="26" t="n"/>
      <c r="E126" s="26" t="n"/>
      <c r="F126" s="26" t="n"/>
      <c r="G126" s="26" t="n"/>
      <c r="H126" s="26" t="n"/>
      <c r="I126" s="26" t="n"/>
      <c r="J126" s="27" t="n"/>
    </row>
    <row r="127">
      <c r="A127" s="6" t="inlineStr">
        <is>
          <t>x5</t>
        </is>
      </c>
      <c r="B127" s="6" t="inlineStr">
        <is>
          <t>x6</t>
        </is>
      </c>
      <c r="C127" s="6" t="inlineStr">
        <is>
          <t>freq</t>
        </is>
      </c>
      <c r="D127" s="6" t="inlineStr">
        <is>
          <t>p(x5,x6)</t>
        </is>
      </c>
      <c r="E127" s="6" t="inlineStr">
        <is>
          <t>p(x5)</t>
        </is>
      </c>
      <c r="F127" s="6" t="inlineStr">
        <is>
          <t>p(x6)</t>
        </is>
      </c>
      <c r="G127" s="6" t="inlineStr">
        <is>
          <t>p(a)·p(b)</t>
        </is>
      </c>
      <c r="H127" s="6" t="inlineStr">
        <is>
          <t>ratio</t>
        </is>
      </c>
      <c r="I127" s="6" t="inlineStr">
        <is>
          <t>log₂(ratio)</t>
        </is>
      </c>
      <c r="J127" s="6" t="inlineStr">
        <is>
          <t>p·log₂(ratio)</t>
        </is>
      </c>
    </row>
    <row r="128">
      <c r="A128" s="7" t="n">
        <v>0</v>
      </c>
      <c r="B128" s="7" t="n">
        <v>0</v>
      </c>
      <c r="C128" s="8">
        <f>COUNTIFS(_Data_B!C:C,0,_Data_B!E:E,0)</f>
        <v/>
      </c>
      <c r="D128" s="9">
        <f>IF(C128=0,0,C128/502)</f>
        <v/>
      </c>
      <c r="E128" s="9">
        <f>IF(C128=0,0,COUNTIF(_Data_B!C:C,0)/502)</f>
        <v/>
      </c>
      <c r="F128" s="9">
        <f>IF(C128=0,0,COUNTIF(_Data_B!E:E,0)/502)</f>
        <v/>
      </c>
      <c r="G128" s="9">
        <f>IF(D128=0,0,E128*F128)</f>
        <v/>
      </c>
      <c r="H128" s="9">
        <f>IF(G128=0,0,D128/G128)</f>
        <v/>
      </c>
      <c r="I128" s="9">
        <f>IF(H128&lt;=0,0,LOG(H128,2))</f>
        <v/>
      </c>
      <c r="J128" s="9">
        <f>D128*I128</f>
        <v/>
      </c>
    </row>
    <row r="129">
      <c r="A129" s="7" t="n">
        <v>0</v>
      </c>
      <c r="B129" s="7" t="n">
        <v>1</v>
      </c>
      <c r="C129" s="8">
        <f>COUNTIFS(_Data_B!C:C,0,_Data_B!E:E,1)</f>
        <v/>
      </c>
      <c r="D129" s="9">
        <f>IF(C129=0,0,C129/502)</f>
        <v/>
      </c>
      <c r="E129" s="9">
        <f>IF(C129=0,0,COUNTIF(_Data_B!C:C,0)/502)</f>
        <v/>
      </c>
      <c r="F129" s="9">
        <f>IF(C129=0,0,COUNTIF(_Data_B!E:E,1)/502)</f>
        <v/>
      </c>
      <c r="G129" s="9">
        <f>IF(D129=0,0,E129*F129)</f>
        <v/>
      </c>
      <c r="H129" s="9">
        <f>IF(G129=0,0,D129/G129)</f>
        <v/>
      </c>
      <c r="I129" s="9">
        <f>IF(H129&lt;=0,0,LOG(H129,2))</f>
        <v/>
      </c>
      <c r="J129" s="9">
        <f>D129*I129</f>
        <v/>
      </c>
    </row>
    <row r="130">
      <c r="A130" s="7" t="n">
        <v>1</v>
      </c>
      <c r="B130" s="7" t="n">
        <v>0</v>
      </c>
      <c r="C130" s="8">
        <f>COUNTIFS(_Data_B!C:C,1,_Data_B!E:E,0)</f>
        <v/>
      </c>
      <c r="D130" s="9">
        <f>IF(C130=0,0,C130/502)</f>
        <v/>
      </c>
      <c r="E130" s="9">
        <f>IF(C130=0,0,COUNTIF(_Data_B!C:C,1)/502)</f>
        <v/>
      </c>
      <c r="F130" s="9">
        <f>IF(C130=0,0,COUNTIF(_Data_B!E:E,0)/502)</f>
        <v/>
      </c>
      <c r="G130" s="9">
        <f>IF(D130=0,0,E130*F130)</f>
        <v/>
      </c>
      <c r="H130" s="9">
        <f>IF(G130=0,0,D130/G130)</f>
        <v/>
      </c>
      <c r="I130" s="9">
        <f>IF(H130&lt;=0,0,LOG(H130,2))</f>
        <v/>
      </c>
      <c r="J130" s="9">
        <f>D130*I130</f>
        <v/>
      </c>
    </row>
    <row r="131">
      <c r="A131" s="7" t="n">
        <v>1</v>
      </c>
      <c r="B131" s="7" t="n">
        <v>1</v>
      </c>
      <c r="C131" s="8">
        <f>COUNTIFS(_Data_B!C:C,1,_Data_B!E:E,1)</f>
        <v/>
      </c>
      <c r="D131" s="9">
        <f>IF(C131=0,0,C131/502)</f>
        <v/>
      </c>
      <c r="E131" s="9">
        <f>IF(C131=0,0,COUNTIF(_Data_B!C:C,1)/502)</f>
        <v/>
      </c>
      <c r="F131" s="9">
        <f>IF(C131=0,0,COUNTIF(_Data_B!E:E,1)/502)</f>
        <v/>
      </c>
      <c r="G131" s="9">
        <f>IF(D131=0,0,E131*F131)</f>
        <v/>
      </c>
      <c r="H131" s="9">
        <f>IF(G131=0,0,D131/G131)</f>
        <v/>
      </c>
      <c r="I131" s="9">
        <f>IF(H131&lt;=0,0,LOG(H131,2))</f>
        <v/>
      </c>
      <c r="J131" s="9">
        <f>D131*I131</f>
        <v/>
      </c>
    </row>
    <row r="132">
      <c r="A132" s="7" t="n">
        <v>2</v>
      </c>
      <c r="B132" s="7" t="n">
        <v>0</v>
      </c>
      <c r="C132" s="8">
        <f>COUNTIFS(_Data_B!C:C,2,_Data_B!E:E,0)</f>
        <v/>
      </c>
      <c r="D132" s="9">
        <f>IF(C132=0,0,C132/502)</f>
        <v/>
      </c>
      <c r="E132" s="9">
        <f>IF(C132=0,0,COUNTIF(_Data_B!C:C,2)/502)</f>
        <v/>
      </c>
      <c r="F132" s="9">
        <f>IF(C132=0,0,COUNTIF(_Data_B!E:E,0)/502)</f>
        <v/>
      </c>
      <c r="G132" s="9">
        <f>IF(D132=0,0,E132*F132)</f>
        <v/>
      </c>
      <c r="H132" s="9">
        <f>IF(G132=0,0,D132/G132)</f>
        <v/>
      </c>
      <c r="I132" s="9">
        <f>IF(H132&lt;=0,0,LOG(H132,2))</f>
        <v/>
      </c>
      <c r="J132" s="9">
        <f>D132*I132</f>
        <v/>
      </c>
    </row>
    <row r="133">
      <c r="A133" s="7" t="n">
        <v>2</v>
      </c>
      <c r="B133" s="7" t="n">
        <v>1</v>
      </c>
      <c r="C133" s="8">
        <f>COUNTIFS(_Data_B!C:C,2,_Data_B!E:E,1)</f>
        <v/>
      </c>
      <c r="D133" s="9">
        <f>IF(C133=0,0,C133/502)</f>
        <v/>
      </c>
      <c r="E133" s="9">
        <f>IF(C133=0,0,COUNTIF(_Data_B!C:C,2)/502)</f>
        <v/>
      </c>
      <c r="F133" s="9">
        <f>IF(C133=0,0,COUNTIF(_Data_B!E:E,1)/502)</f>
        <v/>
      </c>
      <c r="G133" s="9">
        <f>IF(D133=0,0,E133*F133)</f>
        <v/>
      </c>
      <c r="H133" s="9">
        <f>IF(G133=0,0,D133/G133)</f>
        <v/>
      </c>
      <c r="I133" s="9">
        <f>IF(H133&lt;=0,0,LOG(H133,2))</f>
        <v/>
      </c>
      <c r="J133" s="9">
        <f>D133*I133</f>
        <v/>
      </c>
    </row>
    <row r="134">
      <c r="A134" s="2" t="inlineStr">
        <is>
          <t>IM(x5,x6) =</t>
        </is>
      </c>
      <c r="B134" s="26" t="n"/>
      <c r="C134" s="26" t="n"/>
      <c r="D134" s="26" t="n"/>
      <c r="E134" s="26" t="n"/>
      <c r="F134" s="26" t="n"/>
      <c r="G134" s="26" t="n"/>
      <c r="H134" s="26" t="n"/>
      <c r="I134" s="27" t="n"/>
      <c r="J134" s="11">
        <f>SUM(J128:J133)</f>
        <v/>
      </c>
    </row>
    <row r="137">
      <c r="A137" s="4" t="inlineStr">
        <is>
          <t>x5 — x9</t>
        </is>
      </c>
      <c r="B137" s="26" t="n"/>
      <c r="C137" s="26" t="n"/>
      <c r="D137" s="26" t="n"/>
      <c r="E137" s="26" t="n"/>
      <c r="F137" s="26" t="n"/>
      <c r="G137" s="26" t="n"/>
      <c r="H137" s="26" t="n"/>
      <c r="I137" s="26" t="n"/>
      <c r="J137" s="27" t="n"/>
    </row>
    <row r="138">
      <c r="A138" s="6" t="inlineStr">
        <is>
          <t>x5</t>
        </is>
      </c>
      <c r="B138" s="6" t="inlineStr">
        <is>
          <t>x9</t>
        </is>
      </c>
      <c r="C138" s="6" t="inlineStr">
        <is>
          <t>freq</t>
        </is>
      </c>
      <c r="D138" s="6" t="inlineStr">
        <is>
          <t>p(x5,x9)</t>
        </is>
      </c>
      <c r="E138" s="6" t="inlineStr">
        <is>
          <t>p(x5)</t>
        </is>
      </c>
      <c r="F138" s="6" t="inlineStr">
        <is>
          <t>p(x9)</t>
        </is>
      </c>
      <c r="G138" s="6" t="inlineStr">
        <is>
          <t>p(a)·p(b)</t>
        </is>
      </c>
      <c r="H138" s="6" t="inlineStr">
        <is>
          <t>ratio</t>
        </is>
      </c>
      <c r="I138" s="6" t="inlineStr">
        <is>
          <t>log₂(ratio)</t>
        </is>
      </c>
      <c r="J138" s="6" t="inlineStr">
        <is>
          <t>p·log₂(ratio)</t>
        </is>
      </c>
    </row>
    <row r="139">
      <c r="A139" s="7" t="n">
        <v>0</v>
      </c>
      <c r="B139" s="7" t="n">
        <v>0</v>
      </c>
      <c r="C139" s="8">
        <f>COUNTIFS(_Data_B!C:C,0,_Data_B!F:F,0)</f>
        <v/>
      </c>
      <c r="D139" s="9">
        <f>IF(C139=0,0,C139/502)</f>
        <v/>
      </c>
      <c r="E139" s="9">
        <f>IF(C139=0,0,COUNTIF(_Data_B!C:C,0)/502)</f>
        <v/>
      </c>
      <c r="F139" s="9">
        <f>IF(C139=0,0,COUNTIF(_Data_B!F:F,0)/502)</f>
        <v/>
      </c>
      <c r="G139" s="9">
        <f>IF(D139=0,0,E139*F139)</f>
        <v/>
      </c>
      <c r="H139" s="9">
        <f>IF(G139=0,0,D139/G139)</f>
        <v/>
      </c>
      <c r="I139" s="9">
        <f>IF(H139&lt;=0,0,LOG(H139,2))</f>
        <v/>
      </c>
      <c r="J139" s="9">
        <f>D139*I139</f>
        <v/>
      </c>
    </row>
    <row r="140">
      <c r="A140" s="7" t="n">
        <v>0</v>
      </c>
      <c r="B140" s="7" t="n">
        <v>1</v>
      </c>
      <c r="C140" s="8">
        <f>COUNTIFS(_Data_B!C:C,0,_Data_B!F:F,1)</f>
        <v/>
      </c>
      <c r="D140" s="9">
        <f>IF(C140=0,0,C140/502)</f>
        <v/>
      </c>
      <c r="E140" s="9">
        <f>IF(C140=0,0,COUNTIF(_Data_B!C:C,0)/502)</f>
        <v/>
      </c>
      <c r="F140" s="9">
        <f>IF(C140=0,0,COUNTIF(_Data_B!F:F,1)/502)</f>
        <v/>
      </c>
      <c r="G140" s="9">
        <f>IF(D140=0,0,E140*F140)</f>
        <v/>
      </c>
      <c r="H140" s="9">
        <f>IF(G140=0,0,D140/G140)</f>
        <v/>
      </c>
      <c r="I140" s="9">
        <f>IF(H140&lt;=0,0,LOG(H140,2))</f>
        <v/>
      </c>
      <c r="J140" s="9">
        <f>D140*I140</f>
        <v/>
      </c>
    </row>
    <row r="141">
      <c r="A141" s="7" t="n">
        <v>0</v>
      </c>
      <c r="B141" s="7" t="n">
        <v>2</v>
      </c>
      <c r="C141" s="8">
        <f>COUNTIFS(_Data_B!C:C,0,_Data_B!F:F,2)</f>
        <v/>
      </c>
      <c r="D141" s="9">
        <f>IF(C141=0,0,C141/502)</f>
        <v/>
      </c>
      <c r="E141" s="9">
        <f>IF(C141=0,0,COUNTIF(_Data_B!C:C,0)/502)</f>
        <v/>
      </c>
      <c r="F141" s="9">
        <f>IF(C141=0,0,COUNTIF(_Data_B!F:F,2)/502)</f>
        <v/>
      </c>
      <c r="G141" s="9">
        <f>IF(D141=0,0,E141*F141)</f>
        <v/>
      </c>
      <c r="H141" s="9">
        <f>IF(G141=0,0,D141/G141)</f>
        <v/>
      </c>
      <c r="I141" s="9">
        <f>IF(H141&lt;=0,0,LOG(H141,2))</f>
        <v/>
      </c>
      <c r="J141" s="9">
        <f>D141*I141</f>
        <v/>
      </c>
    </row>
    <row r="142">
      <c r="A142" s="7" t="n">
        <v>0</v>
      </c>
      <c r="B142" s="7" t="n">
        <v>3</v>
      </c>
      <c r="C142" s="8">
        <f>COUNTIFS(_Data_B!C:C,0,_Data_B!F:F,3)</f>
        <v/>
      </c>
      <c r="D142" s="9">
        <f>IF(C142=0,0,C142/502)</f>
        <v/>
      </c>
      <c r="E142" s="9">
        <f>IF(C142=0,0,COUNTIF(_Data_B!C:C,0)/502)</f>
        <v/>
      </c>
      <c r="F142" s="9">
        <f>IF(C142=0,0,COUNTIF(_Data_B!F:F,3)/502)</f>
        <v/>
      </c>
      <c r="G142" s="9">
        <f>IF(D142=0,0,E142*F142)</f>
        <v/>
      </c>
      <c r="H142" s="9">
        <f>IF(G142=0,0,D142/G142)</f>
        <v/>
      </c>
      <c r="I142" s="9">
        <f>IF(H142&lt;=0,0,LOG(H142,2))</f>
        <v/>
      </c>
      <c r="J142" s="9">
        <f>D142*I142</f>
        <v/>
      </c>
    </row>
    <row r="143">
      <c r="A143" s="7" t="n">
        <v>1</v>
      </c>
      <c r="B143" s="7" t="n">
        <v>0</v>
      </c>
      <c r="C143" s="8">
        <f>COUNTIFS(_Data_B!C:C,1,_Data_B!F:F,0)</f>
        <v/>
      </c>
      <c r="D143" s="9">
        <f>IF(C143=0,0,C143/502)</f>
        <v/>
      </c>
      <c r="E143" s="9">
        <f>IF(C143=0,0,COUNTIF(_Data_B!C:C,1)/502)</f>
        <v/>
      </c>
      <c r="F143" s="9">
        <f>IF(C143=0,0,COUNTIF(_Data_B!F:F,0)/502)</f>
        <v/>
      </c>
      <c r="G143" s="9">
        <f>IF(D143=0,0,E143*F143)</f>
        <v/>
      </c>
      <c r="H143" s="9">
        <f>IF(G143=0,0,D143/G143)</f>
        <v/>
      </c>
      <c r="I143" s="9">
        <f>IF(H143&lt;=0,0,LOG(H143,2))</f>
        <v/>
      </c>
      <c r="J143" s="9">
        <f>D143*I143</f>
        <v/>
      </c>
    </row>
    <row r="144">
      <c r="A144" s="7" t="n">
        <v>1</v>
      </c>
      <c r="B144" s="7" t="n">
        <v>1</v>
      </c>
      <c r="C144" s="8">
        <f>COUNTIFS(_Data_B!C:C,1,_Data_B!F:F,1)</f>
        <v/>
      </c>
      <c r="D144" s="9">
        <f>IF(C144=0,0,C144/502)</f>
        <v/>
      </c>
      <c r="E144" s="9">
        <f>IF(C144=0,0,COUNTIF(_Data_B!C:C,1)/502)</f>
        <v/>
      </c>
      <c r="F144" s="9">
        <f>IF(C144=0,0,COUNTIF(_Data_B!F:F,1)/502)</f>
        <v/>
      </c>
      <c r="G144" s="9">
        <f>IF(D144=0,0,E144*F144)</f>
        <v/>
      </c>
      <c r="H144" s="9">
        <f>IF(G144=0,0,D144/G144)</f>
        <v/>
      </c>
      <c r="I144" s="9">
        <f>IF(H144&lt;=0,0,LOG(H144,2))</f>
        <v/>
      </c>
      <c r="J144" s="9">
        <f>D144*I144</f>
        <v/>
      </c>
    </row>
    <row r="145">
      <c r="A145" s="7" t="n">
        <v>1</v>
      </c>
      <c r="B145" s="7" t="n">
        <v>2</v>
      </c>
      <c r="C145" s="8">
        <f>COUNTIFS(_Data_B!C:C,1,_Data_B!F:F,2)</f>
        <v/>
      </c>
      <c r="D145" s="9">
        <f>IF(C145=0,0,C145/502)</f>
        <v/>
      </c>
      <c r="E145" s="9">
        <f>IF(C145=0,0,COUNTIF(_Data_B!C:C,1)/502)</f>
        <v/>
      </c>
      <c r="F145" s="9">
        <f>IF(C145=0,0,COUNTIF(_Data_B!F:F,2)/502)</f>
        <v/>
      </c>
      <c r="G145" s="9">
        <f>IF(D145=0,0,E145*F145)</f>
        <v/>
      </c>
      <c r="H145" s="9">
        <f>IF(G145=0,0,D145/G145)</f>
        <v/>
      </c>
      <c r="I145" s="9">
        <f>IF(H145&lt;=0,0,LOG(H145,2))</f>
        <v/>
      </c>
      <c r="J145" s="9">
        <f>D145*I145</f>
        <v/>
      </c>
    </row>
    <row r="146">
      <c r="A146" s="7" t="n">
        <v>1</v>
      </c>
      <c r="B146" s="7" t="n">
        <v>3</v>
      </c>
      <c r="C146" s="8">
        <f>COUNTIFS(_Data_B!C:C,1,_Data_B!F:F,3)</f>
        <v/>
      </c>
      <c r="D146" s="9">
        <f>IF(C146=0,0,C146/502)</f>
        <v/>
      </c>
      <c r="E146" s="9">
        <f>IF(C146=0,0,COUNTIF(_Data_B!C:C,1)/502)</f>
        <v/>
      </c>
      <c r="F146" s="9">
        <f>IF(C146=0,0,COUNTIF(_Data_B!F:F,3)/502)</f>
        <v/>
      </c>
      <c r="G146" s="9">
        <f>IF(D146=0,0,E146*F146)</f>
        <v/>
      </c>
      <c r="H146" s="9">
        <f>IF(G146=0,0,D146/G146)</f>
        <v/>
      </c>
      <c r="I146" s="9">
        <f>IF(H146&lt;=0,0,LOG(H146,2))</f>
        <v/>
      </c>
      <c r="J146" s="9">
        <f>D146*I146</f>
        <v/>
      </c>
    </row>
    <row r="147">
      <c r="A147" s="7" t="n">
        <v>2</v>
      </c>
      <c r="B147" s="7" t="n">
        <v>0</v>
      </c>
      <c r="C147" s="8">
        <f>COUNTIFS(_Data_B!C:C,2,_Data_B!F:F,0)</f>
        <v/>
      </c>
      <c r="D147" s="9">
        <f>IF(C147=0,0,C147/502)</f>
        <v/>
      </c>
      <c r="E147" s="9">
        <f>IF(C147=0,0,COUNTIF(_Data_B!C:C,2)/502)</f>
        <v/>
      </c>
      <c r="F147" s="9">
        <f>IF(C147=0,0,COUNTIF(_Data_B!F:F,0)/502)</f>
        <v/>
      </c>
      <c r="G147" s="9">
        <f>IF(D147=0,0,E147*F147)</f>
        <v/>
      </c>
      <c r="H147" s="9">
        <f>IF(G147=0,0,D147/G147)</f>
        <v/>
      </c>
      <c r="I147" s="9">
        <f>IF(H147&lt;=0,0,LOG(H147,2))</f>
        <v/>
      </c>
      <c r="J147" s="9">
        <f>D147*I147</f>
        <v/>
      </c>
    </row>
    <row r="148">
      <c r="A148" s="7" t="n">
        <v>2</v>
      </c>
      <c r="B148" s="7" t="n">
        <v>1</v>
      </c>
      <c r="C148" s="8">
        <f>COUNTIFS(_Data_B!C:C,2,_Data_B!F:F,1)</f>
        <v/>
      </c>
      <c r="D148" s="9">
        <f>IF(C148=0,0,C148/502)</f>
        <v/>
      </c>
      <c r="E148" s="9">
        <f>IF(C148=0,0,COUNTIF(_Data_B!C:C,2)/502)</f>
        <v/>
      </c>
      <c r="F148" s="9">
        <f>IF(C148=0,0,COUNTIF(_Data_B!F:F,1)/502)</f>
        <v/>
      </c>
      <c r="G148" s="9">
        <f>IF(D148=0,0,E148*F148)</f>
        <v/>
      </c>
      <c r="H148" s="9">
        <f>IF(G148=0,0,D148/G148)</f>
        <v/>
      </c>
      <c r="I148" s="9">
        <f>IF(H148&lt;=0,0,LOG(H148,2))</f>
        <v/>
      </c>
      <c r="J148" s="9">
        <f>D148*I148</f>
        <v/>
      </c>
    </row>
    <row r="149">
      <c r="A149" s="7" t="n">
        <v>2</v>
      </c>
      <c r="B149" s="7" t="n">
        <v>2</v>
      </c>
      <c r="C149" s="8">
        <f>COUNTIFS(_Data_B!C:C,2,_Data_B!F:F,2)</f>
        <v/>
      </c>
      <c r="D149" s="9">
        <f>IF(C149=0,0,C149/502)</f>
        <v/>
      </c>
      <c r="E149" s="9">
        <f>IF(C149=0,0,COUNTIF(_Data_B!C:C,2)/502)</f>
        <v/>
      </c>
      <c r="F149" s="9">
        <f>IF(C149=0,0,COUNTIF(_Data_B!F:F,2)/502)</f>
        <v/>
      </c>
      <c r="G149" s="9">
        <f>IF(D149=0,0,E149*F149)</f>
        <v/>
      </c>
      <c r="H149" s="9">
        <f>IF(G149=0,0,D149/G149)</f>
        <v/>
      </c>
      <c r="I149" s="9">
        <f>IF(H149&lt;=0,0,LOG(H149,2))</f>
        <v/>
      </c>
      <c r="J149" s="9">
        <f>D149*I149</f>
        <v/>
      </c>
    </row>
    <row r="150">
      <c r="A150" s="7" t="n">
        <v>2</v>
      </c>
      <c r="B150" s="7" t="n">
        <v>3</v>
      </c>
      <c r="C150" s="8">
        <f>COUNTIFS(_Data_B!C:C,2,_Data_B!F:F,3)</f>
        <v/>
      </c>
      <c r="D150" s="9">
        <f>IF(C150=0,0,C150/502)</f>
        <v/>
      </c>
      <c r="E150" s="9">
        <f>IF(C150=0,0,COUNTIF(_Data_B!C:C,2)/502)</f>
        <v/>
      </c>
      <c r="F150" s="9">
        <f>IF(C150=0,0,COUNTIF(_Data_B!F:F,3)/502)</f>
        <v/>
      </c>
      <c r="G150" s="9">
        <f>IF(D150=0,0,E150*F150)</f>
        <v/>
      </c>
      <c r="H150" s="9">
        <f>IF(G150=0,0,D150/G150)</f>
        <v/>
      </c>
      <c r="I150" s="9">
        <f>IF(H150&lt;=0,0,LOG(H150,2))</f>
        <v/>
      </c>
      <c r="J150" s="9">
        <f>D150*I150</f>
        <v/>
      </c>
    </row>
    <row r="151">
      <c r="A151" s="2" t="inlineStr">
        <is>
          <t>IM(x5,x9) =</t>
        </is>
      </c>
      <c r="B151" s="26" t="n"/>
      <c r="C151" s="26" t="n"/>
      <c r="D151" s="26" t="n"/>
      <c r="E151" s="26" t="n"/>
      <c r="F151" s="26" t="n"/>
      <c r="G151" s="26" t="n"/>
      <c r="H151" s="26" t="n"/>
      <c r="I151" s="27" t="n"/>
      <c r="J151" s="11">
        <f>SUM(J139:J150)</f>
        <v/>
      </c>
    </row>
    <row r="154">
      <c r="A154" s="4" t="inlineStr">
        <is>
          <t>x5 — x3</t>
        </is>
      </c>
      <c r="B154" s="26" t="n"/>
      <c r="C154" s="26" t="n"/>
      <c r="D154" s="26" t="n"/>
      <c r="E154" s="26" t="n"/>
      <c r="F154" s="26" t="n"/>
      <c r="G154" s="26" t="n"/>
      <c r="H154" s="26" t="n"/>
      <c r="I154" s="26" t="n"/>
      <c r="J154" s="27" t="n"/>
    </row>
    <row r="155">
      <c r="A155" s="6" t="inlineStr">
        <is>
          <t>x5</t>
        </is>
      </c>
      <c r="B155" s="6" t="inlineStr">
        <is>
          <t>x3</t>
        </is>
      </c>
      <c r="C155" s="6" t="inlineStr">
        <is>
          <t>freq</t>
        </is>
      </c>
      <c r="D155" s="6" t="inlineStr">
        <is>
          <t>p(x5,x3)</t>
        </is>
      </c>
      <c r="E155" s="6" t="inlineStr">
        <is>
          <t>p(x5)</t>
        </is>
      </c>
      <c r="F155" s="6" t="inlineStr">
        <is>
          <t>p(x3)</t>
        </is>
      </c>
      <c r="G155" s="6" t="inlineStr">
        <is>
          <t>p(a)·p(b)</t>
        </is>
      </c>
      <c r="H155" s="6" t="inlineStr">
        <is>
          <t>ratio</t>
        </is>
      </c>
      <c r="I155" s="6" t="inlineStr">
        <is>
          <t>log₂(ratio)</t>
        </is>
      </c>
      <c r="J155" s="6" t="inlineStr">
        <is>
          <t>p·log₂(ratio)</t>
        </is>
      </c>
    </row>
    <row r="156">
      <c r="A156" s="7" t="n">
        <v>0</v>
      </c>
      <c r="B156" s="7" t="n">
        <v>0</v>
      </c>
      <c r="C156" s="8">
        <f>COUNTIFS(_Data_B!C:C,0,_Data_B!G:G,0)</f>
        <v/>
      </c>
      <c r="D156" s="9">
        <f>IF(C156=0,0,C156/502)</f>
        <v/>
      </c>
      <c r="E156" s="9">
        <f>IF(C156=0,0,COUNTIF(_Data_B!C:C,0)/502)</f>
        <v/>
      </c>
      <c r="F156" s="9">
        <f>IF(C156=0,0,COUNTIF(_Data_B!G:G,0)/502)</f>
        <v/>
      </c>
      <c r="G156" s="9">
        <f>IF(D156=0,0,E156*F156)</f>
        <v/>
      </c>
      <c r="H156" s="9">
        <f>IF(G156=0,0,D156/G156)</f>
        <v/>
      </c>
      <c r="I156" s="9">
        <f>IF(H156&lt;=0,0,LOG(H156,2))</f>
        <v/>
      </c>
      <c r="J156" s="9">
        <f>D156*I156</f>
        <v/>
      </c>
    </row>
    <row r="157">
      <c r="A157" s="7" t="n">
        <v>0</v>
      </c>
      <c r="B157" s="7" t="n">
        <v>1</v>
      </c>
      <c r="C157" s="8">
        <f>COUNTIFS(_Data_B!C:C,0,_Data_B!G:G,1)</f>
        <v/>
      </c>
      <c r="D157" s="9">
        <f>IF(C157=0,0,C157/502)</f>
        <v/>
      </c>
      <c r="E157" s="9">
        <f>IF(C157=0,0,COUNTIF(_Data_B!C:C,0)/502)</f>
        <v/>
      </c>
      <c r="F157" s="9">
        <f>IF(C157=0,0,COUNTIF(_Data_B!G:G,1)/502)</f>
        <v/>
      </c>
      <c r="G157" s="9">
        <f>IF(D157=0,0,E157*F157)</f>
        <v/>
      </c>
      <c r="H157" s="9">
        <f>IF(G157=0,0,D157/G157)</f>
        <v/>
      </c>
      <c r="I157" s="9">
        <f>IF(H157&lt;=0,0,LOG(H157,2))</f>
        <v/>
      </c>
      <c r="J157" s="9">
        <f>D157*I157</f>
        <v/>
      </c>
    </row>
    <row r="158">
      <c r="A158" s="7" t="n">
        <v>1</v>
      </c>
      <c r="B158" s="7" t="n">
        <v>0</v>
      </c>
      <c r="C158" s="8">
        <f>COUNTIFS(_Data_B!C:C,1,_Data_B!G:G,0)</f>
        <v/>
      </c>
      <c r="D158" s="9">
        <f>IF(C158=0,0,C158/502)</f>
        <v/>
      </c>
      <c r="E158" s="9">
        <f>IF(C158=0,0,COUNTIF(_Data_B!C:C,1)/502)</f>
        <v/>
      </c>
      <c r="F158" s="9">
        <f>IF(C158=0,0,COUNTIF(_Data_B!G:G,0)/502)</f>
        <v/>
      </c>
      <c r="G158" s="9">
        <f>IF(D158=0,0,E158*F158)</f>
        <v/>
      </c>
      <c r="H158" s="9">
        <f>IF(G158=0,0,D158/G158)</f>
        <v/>
      </c>
      <c r="I158" s="9">
        <f>IF(H158&lt;=0,0,LOG(H158,2))</f>
        <v/>
      </c>
      <c r="J158" s="9">
        <f>D158*I158</f>
        <v/>
      </c>
    </row>
    <row r="159">
      <c r="A159" s="7" t="n">
        <v>1</v>
      </c>
      <c r="B159" s="7" t="n">
        <v>1</v>
      </c>
      <c r="C159" s="8">
        <f>COUNTIFS(_Data_B!C:C,1,_Data_B!G:G,1)</f>
        <v/>
      </c>
      <c r="D159" s="9">
        <f>IF(C159=0,0,C159/502)</f>
        <v/>
      </c>
      <c r="E159" s="9">
        <f>IF(C159=0,0,COUNTIF(_Data_B!C:C,1)/502)</f>
        <v/>
      </c>
      <c r="F159" s="9">
        <f>IF(C159=0,0,COUNTIF(_Data_B!G:G,1)/502)</f>
        <v/>
      </c>
      <c r="G159" s="9">
        <f>IF(D159=0,0,E159*F159)</f>
        <v/>
      </c>
      <c r="H159" s="9">
        <f>IF(G159=0,0,D159/G159)</f>
        <v/>
      </c>
      <c r="I159" s="9">
        <f>IF(H159&lt;=0,0,LOG(H159,2))</f>
        <v/>
      </c>
      <c r="J159" s="9">
        <f>D159*I159</f>
        <v/>
      </c>
    </row>
    <row r="160">
      <c r="A160" s="7" t="n">
        <v>2</v>
      </c>
      <c r="B160" s="7" t="n">
        <v>0</v>
      </c>
      <c r="C160" s="8">
        <f>COUNTIFS(_Data_B!C:C,2,_Data_B!G:G,0)</f>
        <v/>
      </c>
      <c r="D160" s="9">
        <f>IF(C160=0,0,C160/502)</f>
        <v/>
      </c>
      <c r="E160" s="9">
        <f>IF(C160=0,0,COUNTIF(_Data_B!C:C,2)/502)</f>
        <v/>
      </c>
      <c r="F160" s="9">
        <f>IF(C160=0,0,COUNTIF(_Data_B!G:G,0)/502)</f>
        <v/>
      </c>
      <c r="G160" s="9">
        <f>IF(D160=0,0,E160*F160)</f>
        <v/>
      </c>
      <c r="H160" s="9">
        <f>IF(G160=0,0,D160/G160)</f>
        <v/>
      </c>
      <c r="I160" s="9">
        <f>IF(H160&lt;=0,0,LOG(H160,2))</f>
        <v/>
      </c>
      <c r="J160" s="9">
        <f>D160*I160</f>
        <v/>
      </c>
    </row>
    <row r="161">
      <c r="A161" s="7" t="n">
        <v>2</v>
      </c>
      <c r="B161" s="7" t="n">
        <v>1</v>
      </c>
      <c r="C161" s="8">
        <f>COUNTIFS(_Data_B!C:C,2,_Data_B!G:G,1)</f>
        <v/>
      </c>
      <c r="D161" s="9">
        <f>IF(C161=0,0,C161/502)</f>
        <v/>
      </c>
      <c r="E161" s="9">
        <f>IF(C161=0,0,COUNTIF(_Data_B!C:C,2)/502)</f>
        <v/>
      </c>
      <c r="F161" s="9">
        <f>IF(C161=0,0,COUNTIF(_Data_B!G:G,1)/502)</f>
        <v/>
      </c>
      <c r="G161" s="9">
        <f>IF(D161=0,0,E161*F161)</f>
        <v/>
      </c>
      <c r="H161" s="9">
        <f>IF(G161=0,0,D161/G161)</f>
        <v/>
      </c>
      <c r="I161" s="9">
        <f>IF(H161&lt;=0,0,LOG(H161,2))</f>
        <v/>
      </c>
      <c r="J161" s="9">
        <f>D161*I161</f>
        <v/>
      </c>
    </row>
    <row r="162">
      <c r="A162" s="2" t="inlineStr">
        <is>
          <t>IM(x5,x3) =</t>
        </is>
      </c>
      <c r="B162" s="26" t="n"/>
      <c r="C162" s="26" t="n"/>
      <c r="D162" s="26" t="n"/>
      <c r="E162" s="26" t="n"/>
      <c r="F162" s="26" t="n"/>
      <c r="G162" s="26" t="n"/>
      <c r="H162" s="26" t="n"/>
      <c r="I162" s="27" t="n"/>
      <c r="J162" s="11">
        <f>SUM(J156:J161)</f>
        <v/>
      </c>
    </row>
    <row r="165">
      <c r="A165" s="4" t="inlineStr">
        <is>
          <t>x4 — x6</t>
        </is>
      </c>
      <c r="B165" s="26" t="n"/>
      <c r="C165" s="26" t="n"/>
      <c r="D165" s="26" t="n"/>
      <c r="E165" s="26" t="n"/>
      <c r="F165" s="26" t="n"/>
      <c r="G165" s="26" t="n"/>
      <c r="H165" s="26" t="n"/>
      <c r="I165" s="26" t="n"/>
      <c r="J165" s="27" t="n"/>
    </row>
    <row r="166">
      <c r="A166" s="6" t="inlineStr">
        <is>
          <t>x4</t>
        </is>
      </c>
      <c r="B166" s="6" t="inlineStr">
        <is>
          <t>x6</t>
        </is>
      </c>
      <c r="C166" s="6" t="inlineStr">
        <is>
          <t>freq</t>
        </is>
      </c>
      <c r="D166" s="6" t="inlineStr">
        <is>
          <t>p(x4,x6)</t>
        </is>
      </c>
      <c r="E166" s="6" t="inlineStr">
        <is>
          <t>p(x4)</t>
        </is>
      </c>
      <c r="F166" s="6" t="inlineStr">
        <is>
          <t>p(x6)</t>
        </is>
      </c>
      <c r="G166" s="6" t="inlineStr">
        <is>
          <t>p(a)·p(b)</t>
        </is>
      </c>
      <c r="H166" s="6" t="inlineStr">
        <is>
          <t>ratio</t>
        </is>
      </c>
      <c r="I166" s="6" t="inlineStr">
        <is>
          <t>log₂(ratio)</t>
        </is>
      </c>
      <c r="J166" s="6" t="inlineStr">
        <is>
          <t>p·log₂(ratio)</t>
        </is>
      </c>
    </row>
    <row r="167">
      <c r="A167" s="7" t="n">
        <v>0</v>
      </c>
      <c r="B167" s="7" t="n">
        <v>0</v>
      </c>
      <c r="C167" s="8">
        <f>COUNTIFS(_Data_B!D:D,0,_Data_B!E:E,0)</f>
        <v/>
      </c>
      <c r="D167" s="9">
        <f>IF(C167=0,0,C167/502)</f>
        <v/>
      </c>
      <c r="E167" s="9">
        <f>IF(C167=0,0,COUNTIF(_Data_B!D:D,0)/502)</f>
        <v/>
      </c>
      <c r="F167" s="9">
        <f>IF(C167=0,0,COUNTIF(_Data_B!E:E,0)/502)</f>
        <v/>
      </c>
      <c r="G167" s="9">
        <f>IF(D167=0,0,E167*F167)</f>
        <v/>
      </c>
      <c r="H167" s="9">
        <f>IF(G167=0,0,D167/G167)</f>
        <v/>
      </c>
      <c r="I167" s="9">
        <f>IF(H167&lt;=0,0,LOG(H167,2))</f>
        <v/>
      </c>
      <c r="J167" s="9">
        <f>D167*I167</f>
        <v/>
      </c>
    </row>
    <row r="168">
      <c r="A168" s="7" t="n">
        <v>0</v>
      </c>
      <c r="B168" s="7" t="n">
        <v>1</v>
      </c>
      <c r="C168" s="8">
        <f>COUNTIFS(_Data_B!D:D,0,_Data_B!E:E,1)</f>
        <v/>
      </c>
      <c r="D168" s="9">
        <f>IF(C168=0,0,C168/502)</f>
        <v/>
      </c>
      <c r="E168" s="9">
        <f>IF(C168=0,0,COUNTIF(_Data_B!D:D,0)/502)</f>
        <v/>
      </c>
      <c r="F168" s="9">
        <f>IF(C168=0,0,COUNTIF(_Data_B!E:E,1)/502)</f>
        <v/>
      </c>
      <c r="G168" s="9">
        <f>IF(D168=0,0,E168*F168)</f>
        <v/>
      </c>
      <c r="H168" s="9">
        <f>IF(G168=0,0,D168/G168)</f>
        <v/>
      </c>
      <c r="I168" s="9">
        <f>IF(H168&lt;=0,0,LOG(H168,2))</f>
        <v/>
      </c>
      <c r="J168" s="9">
        <f>D168*I168</f>
        <v/>
      </c>
    </row>
    <row r="169">
      <c r="A169" s="7" t="n">
        <v>1</v>
      </c>
      <c r="B169" s="7" t="n">
        <v>0</v>
      </c>
      <c r="C169" s="8">
        <f>COUNTIFS(_Data_B!D:D,1,_Data_B!E:E,0)</f>
        <v/>
      </c>
      <c r="D169" s="9">
        <f>IF(C169=0,0,C169/502)</f>
        <v/>
      </c>
      <c r="E169" s="9">
        <f>IF(C169=0,0,COUNTIF(_Data_B!D:D,1)/502)</f>
        <v/>
      </c>
      <c r="F169" s="9">
        <f>IF(C169=0,0,COUNTIF(_Data_B!E:E,0)/502)</f>
        <v/>
      </c>
      <c r="G169" s="9">
        <f>IF(D169=0,0,E169*F169)</f>
        <v/>
      </c>
      <c r="H169" s="9">
        <f>IF(G169=0,0,D169/G169)</f>
        <v/>
      </c>
      <c r="I169" s="9">
        <f>IF(H169&lt;=0,0,LOG(H169,2))</f>
        <v/>
      </c>
      <c r="J169" s="9">
        <f>D169*I169</f>
        <v/>
      </c>
    </row>
    <row r="170">
      <c r="A170" s="7" t="n">
        <v>1</v>
      </c>
      <c r="B170" s="7" t="n">
        <v>1</v>
      </c>
      <c r="C170" s="8">
        <f>COUNTIFS(_Data_B!D:D,1,_Data_B!E:E,1)</f>
        <v/>
      </c>
      <c r="D170" s="9">
        <f>IF(C170=0,0,C170/502)</f>
        <v/>
      </c>
      <c r="E170" s="9">
        <f>IF(C170=0,0,COUNTIF(_Data_B!D:D,1)/502)</f>
        <v/>
      </c>
      <c r="F170" s="9">
        <f>IF(C170=0,0,COUNTIF(_Data_B!E:E,1)/502)</f>
        <v/>
      </c>
      <c r="G170" s="9">
        <f>IF(D170=0,0,E170*F170)</f>
        <v/>
      </c>
      <c r="H170" s="9">
        <f>IF(G170=0,0,D170/G170)</f>
        <v/>
      </c>
      <c r="I170" s="9">
        <f>IF(H170&lt;=0,0,LOG(H170,2))</f>
        <v/>
      </c>
      <c r="J170" s="9">
        <f>D170*I170</f>
        <v/>
      </c>
    </row>
    <row r="171">
      <c r="A171" s="2" t="inlineStr">
        <is>
          <t>IM(x4,x6) =</t>
        </is>
      </c>
      <c r="B171" s="26" t="n"/>
      <c r="C171" s="26" t="n"/>
      <c r="D171" s="26" t="n"/>
      <c r="E171" s="26" t="n"/>
      <c r="F171" s="26" t="n"/>
      <c r="G171" s="26" t="n"/>
      <c r="H171" s="26" t="n"/>
      <c r="I171" s="27" t="n"/>
      <c r="J171" s="11">
        <f>SUM(J167:J170)</f>
        <v/>
      </c>
    </row>
    <row r="174">
      <c r="A174" s="4" t="inlineStr">
        <is>
          <t>x4 — x9</t>
        </is>
      </c>
      <c r="B174" s="26" t="n"/>
      <c r="C174" s="26" t="n"/>
      <c r="D174" s="26" t="n"/>
      <c r="E174" s="26" t="n"/>
      <c r="F174" s="26" t="n"/>
      <c r="G174" s="26" t="n"/>
      <c r="H174" s="26" t="n"/>
      <c r="I174" s="26" t="n"/>
      <c r="J174" s="27" t="n"/>
    </row>
    <row r="175">
      <c r="A175" s="6" t="inlineStr">
        <is>
          <t>x4</t>
        </is>
      </c>
      <c r="B175" s="6" t="inlineStr">
        <is>
          <t>x9</t>
        </is>
      </c>
      <c r="C175" s="6" t="inlineStr">
        <is>
          <t>freq</t>
        </is>
      </c>
      <c r="D175" s="6" t="inlineStr">
        <is>
          <t>p(x4,x9)</t>
        </is>
      </c>
      <c r="E175" s="6" t="inlineStr">
        <is>
          <t>p(x4)</t>
        </is>
      </c>
      <c r="F175" s="6" t="inlineStr">
        <is>
          <t>p(x9)</t>
        </is>
      </c>
      <c r="G175" s="6" t="inlineStr">
        <is>
          <t>p(a)·p(b)</t>
        </is>
      </c>
      <c r="H175" s="6" t="inlineStr">
        <is>
          <t>ratio</t>
        </is>
      </c>
      <c r="I175" s="6" t="inlineStr">
        <is>
          <t>log₂(ratio)</t>
        </is>
      </c>
      <c r="J175" s="6" t="inlineStr">
        <is>
          <t>p·log₂(ratio)</t>
        </is>
      </c>
    </row>
    <row r="176">
      <c r="A176" s="7" t="n">
        <v>0</v>
      </c>
      <c r="B176" s="7" t="n">
        <v>0</v>
      </c>
      <c r="C176" s="8">
        <f>COUNTIFS(_Data_B!D:D,0,_Data_B!F:F,0)</f>
        <v/>
      </c>
      <c r="D176" s="9">
        <f>IF(C176=0,0,C176/502)</f>
        <v/>
      </c>
      <c r="E176" s="9">
        <f>IF(C176=0,0,COUNTIF(_Data_B!D:D,0)/502)</f>
        <v/>
      </c>
      <c r="F176" s="9">
        <f>IF(C176=0,0,COUNTIF(_Data_B!F:F,0)/502)</f>
        <v/>
      </c>
      <c r="G176" s="9">
        <f>IF(D176=0,0,E176*F176)</f>
        <v/>
      </c>
      <c r="H176" s="9">
        <f>IF(G176=0,0,D176/G176)</f>
        <v/>
      </c>
      <c r="I176" s="9">
        <f>IF(H176&lt;=0,0,LOG(H176,2))</f>
        <v/>
      </c>
      <c r="J176" s="9">
        <f>D176*I176</f>
        <v/>
      </c>
    </row>
    <row r="177">
      <c r="A177" s="7" t="n">
        <v>0</v>
      </c>
      <c r="B177" s="7" t="n">
        <v>1</v>
      </c>
      <c r="C177" s="8">
        <f>COUNTIFS(_Data_B!D:D,0,_Data_B!F:F,1)</f>
        <v/>
      </c>
      <c r="D177" s="9">
        <f>IF(C177=0,0,C177/502)</f>
        <v/>
      </c>
      <c r="E177" s="9">
        <f>IF(C177=0,0,COUNTIF(_Data_B!D:D,0)/502)</f>
        <v/>
      </c>
      <c r="F177" s="9">
        <f>IF(C177=0,0,COUNTIF(_Data_B!F:F,1)/502)</f>
        <v/>
      </c>
      <c r="G177" s="9">
        <f>IF(D177=0,0,E177*F177)</f>
        <v/>
      </c>
      <c r="H177" s="9">
        <f>IF(G177=0,0,D177/G177)</f>
        <v/>
      </c>
      <c r="I177" s="9">
        <f>IF(H177&lt;=0,0,LOG(H177,2))</f>
        <v/>
      </c>
      <c r="J177" s="9">
        <f>D177*I177</f>
        <v/>
      </c>
    </row>
    <row r="178">
      <c r="A178" s="7" t="n">
        <v>0</v>
      </c>
      <c r="B178" s="7" t="n">
        <v>2</v>
      </c>
      <c r="C178" s="8">
        <f>COUNTIFS(_Data_B!D:D,0,_Data_B!F:F,2)</f>
        <v/>
      </c>
      <c r="D178" s="9">
        <f>IF(C178=0,0,C178/502)</f>
        <v/>
      </c>
      <c r="E178" s="9">
        <f>IF(C178=0,0,COUNTIF(_Data_B!D:D,0)/502)</f>
        <v/>
      </c>
      <c r="F178" s="9">
        <f>IF(C178=0,0,COUNTIF(_Data_B!F:F,2)/502)</f>
        <v/>
      </c>
      <c r="G178" s="9">
        <f>IF(D178=0,0,E178*F178)</f>
        <v/>
      </c>
      <c r="H178" s="9">
        <f>IF(G178=0,0,D178/G178)</f>
        <v/>
      </c>
      <c r="I178" s="9">
        <f>IF(H178&lt;=0,0,LOG(H178,2))</f>
        <v/>
      </c>
      <c r="J178" s="9">
        <f>D178*I178</f>
        <v/>
      </c>
    </row>
    <row r="179">
      <c r="A179" s="7" t="n">
        <v>0</v>
      </c>
      <c r="B179" s="7" t="n">
        <v>3</v>
      </c>
      <c r="C179" s="8">
        <f>COUNTIFS(_Data_B!D:D,0,_Data_B!F:F,3)</f>
        <v/>
      </c>
      <c r="D179" s="9">
        <f>IF(C179=0,0,C179/502)</f>
        <v/>
      </c>
      <c r="E179" s="9">
        <f>IF(C179=0,0,COUNTIF(_Data_B!D:D,0)/502)</f>
        <v/>
      </c>
      <c r="F179" s="9">
        <f>IF(C179=0,0,COUNTIF(_Data_B!F:F,3)/502)</f>
        <v/>
      </c>
      <c r="G179" s="9">
        <f>IF(D179=0,0,E179*F179)</f>
        <v/>
      </c>
      <c r="H179" s="9">
        <f>IF(G179=0,0,D179/G179)</f>
        <v/>
      </c>
      <c r="I179" s="9">
        <f>IF(H179&lt;=0,0,LOG(H179,2))</f>
        <v/>
      </c>
      <c r="J179" s="9">
        <f>D179*I179</f>
        <v/>
      </c>
    </row>
    <row r="180">
      <c r="A180" s="7" t="n">
        <v>1</v>
      </c>
      <c r="B180" s="7" t="n">
        <v>0</v>
      </c>
      <c r="C180" s="8">
        <f>COUNTIFS(_Data_B!D:D,1,_Data_B!F:F,0)</f>
        <v/>
      </c>
      <c r="D180" s="9">
        <f>IF(C180=0,0,C180/502)</f>
        <v/>
      </c>
      <c r="E180" s="9">
        <f>IF(C180=0,0,COUNTIF(_Data_B!D:D,1)/502)</f>
        <v/>
      </c>
      <c r="F180" s="9">
        <f>IF(C180=0,0,COUNTIF(_Data_B!F:F,0)/502)</f>
        <v/>
      </c>
      <c r="G180" s="9">
        <f>IF(D180=0,0,E180*F180)</f>
        <v/>
      </c>
      <c r="H180" s="9">
        <f>IF(G180=0,0,D180/G180)</f>
        <v/>
      </c>
      <c r="I180" s="9">
        <f>IF(H180&lt;=0,0,LOG(H180,2))</f>
        <v/>
      </c>
      <c r="J180" s="9">
        <f>D180*I180</f>
        <v/>
      </c>
    </row>
    <row r="181">
      <c r="A181" s="7" t="n">
        <v>1</v>
      </c>
      <c r="B181" s="7" t="n">
        <v>1</v>
      </c>
      <c r="C181" s="8">
        <f>COUNTIFS(_Data_B!D:D,1,_Data_B!F:F,1)</f>
        <v/>
      </c>
      <c r="D181" s="9">
        <f>IF(C181=0,0,C181/502)</f>
        <v/>
      </c>
      <c r="E181" s="9">
        <f>IF(C181=0,0,COUNTIF(_Data_B!D:D,1)/502)</f>
        <v/>
      </c>
      <c r="F181" s="9">
        <f>IF(C181=0,0,COUNTIF(_Data_B!F:F,1)/502)</f>
        <v/>
      </c>
      <c r="G181" s="9">
        <f>IF(D181=0,0,E181*F181)</f>
        <v/>
      </c>
      <c r="H181" s="9">
        <f>IF(G181=0,0,D181/G181)</f>
        <v/>
      </c>
      <c r="I181" s="9">
        <f>IF(H181&lt;=0,0,LOG(H181,2))</f>
        <v/>
      </c>
      <c r="J181" s="9">
        <f>D181*I181</f>
        <v/>
      </c>
    </row>
    <row r="182">
      <c r="A182" s="7" t="n">
        <v>1</v>
      </c>
      <c r="B182" s="7" t="n">
        <v>2</v>
      </c>
      <c r="C182" s="8">
        <f>COUNTIFS(_Data_B!D:D,1,_Data_B!F:F,2)</f>
        <v/>
      </c>
      <c r="D182" s="9">
        <f>IF(C182=0,0,C182/502)</f>
        <v/>
      </c>
      <c r="E182" s="9">
        <f>IF(C182=0,0,COUNTIF(_Data_B!D:D,1)/502)</f>
        <v/>
      </c>
      <c r="F182" s="9">
        <f>IF(C182=0,0,COUNTIF(_Data_B!F:F,2)/502)</f>
        <v/>
      </c>
      <c r="G182" s="9">
        <f>IF(D182=0,0,E182*F182)</f>
        <v/>
      </c>
      <c r="H182" s="9">
        <f>IF(G182=0,0,D182/G182)</f>
        <v/>
      </c>
      <c r="I182" s="9">
        <f>IF(H182&lt;=0,0,LOG(H182,2))</f>
        <v/>
      </c>
      <c r="J182" s="9">
        <f>D182*I182</f>
        <v/>
      </c>
    </row>
    <row r="183">
      <c r="A183" s="7" t="n">
        <v>1</v>
      </c>
      <c r="B183" s="7" t="n">
        <v>3</v>
      </c>
      <c r="C183" s="8">
        <f>COUNTIFS(_Data_B!D:D,1,_Data_B!F:F,3)</f>
        <v/>
      </c>
      <c r="D183" s="9">
        <f>IF(C183=0,0,C183/502)</f>
        <v/>
      </c>
      <c r="E183" s="9">
        <f>IF(C183=0,0,COUNTIF(_Data_B!D:D,1)/502)</f>
        <v/>
      </c>
      <c r="F183" s="9">
        <f>IF(C183=0,0,COUNTIF(_Data_B!F:F,3)/502)</f>
        <v/>
      </c>
      <c r="G183" s="9">
        <f>IF(D183=0,0,E183*F183)</f>
        <v/>
      </c>
      <c r="H183" s="9">
        <f>IF(G183=0,0,D183/G183)</f>
        <v/>
      </c>
      <c r="I183" s="9">
        <f>IF(H183&lt;=0,0,LOG(H183,2))</f>
        <v/>
      </c>
      <c r="J183" s="9">
        <f>D183*I183</f>
        <v/>
      </c>
    </row>
    <row r="184">
      <c r="A184" s="2" t="inlineStr">
        <is>
          <t>IM(x4,x9) =</t>
        </is>
      </c>
      <c r="B184" s="26" t="n"/>
      <c r="C184" s="26" t="n"/>
      <c r="D184" s="26" t="n"/>
      <c r="E184" s="26" t="n"/>
      <c r="F184" s="26" t="n"/>
      <c r="G184" s="26" t="n"/>
      <c r="H184" s="26" t="n"/>
      <c r="I184" s="27" t="n"/>
      <c r="J184" s="11">
        <f>SUM(J176:J183)</f>
        <v/>
      </c>
    </row>
    <row r="187">
      <c r="A187" s="4" t="inlineStr">
        <is>
          <t>x4 — x3</t>
        </is>
      </c>
      <c r="B187" s="26" t="n"/>
      <c r="C187" s="26" t="n"/>
      <c r="D187" s="26" t="n"/>
      <c r="E187" s="26" t="n"/>
      <c r="F187" s="26" t="n"/>
      <c r="G187" s="26" t="n"/>
      <c r="H187" s="26" t="n"/>
      <c r="I187" s="26" t="n"/>
      <c r="J187" s="27" t="n"/>
    </row>
    <row r="188">
      <c r="A188" s="6" t="inlineStr">
        <is>
          <t>x4</t>
        </is>
      </c>
      <c r="B188" s="6" t="inlineStr">
        <is>
          <t>x3</t>
        </is>
      </c>
      <c r="C188" s="6" t="inlineStr">
        <is>
          <t>freq</t>
        </is>
      </c>
      <c r="D188" s="6" t="inlineStr">
        <is>
          <t>p(x4,x3)</t>
        </is>
      </c>
      <c r="E188" s="6" t="inlineStr">
        <is>
          <t>p(x4)</t>
        </is>
      </c>
      <c r="F188" s="6" t="inlineStr">
        <is>
          <t>p(x3)</t>
        </is>
      </c>
      <c r="G188" s="6" t="inlineStr">
        <is>
          <t>p(a)·p(b)</t>
        </is>
      </c>
      <c r="H188" s="6" t="inlineStr">
        <is>
          <t>ratio</t>
        </is>
      </c>
      <c r="I188" s="6" t="inlineStr">
        <is>
          <t>log₂(ratio)</t>
        </is>
      </c>
      <c r="J188" s="6" t="inlineStr">
        <is>
          <t>p·log₂(ratio)</t>
        </is>
      </c>
    </row>
    <row r="189">
      <c r="A189" s="7" t="n">
        <v>0</v>
      </c>
      <c r="B189" s="7" t="n">
        <v>0</v>
      </c>
      <c r="C189" s="8">
        <f>COUNTIFS(_Data_B!D:D,0,_Data_B!G:G,0)</f>
        <v/>
      </c>
      <c r="D189" s="9">
        <f>IF(C189=0,0,C189/502)</f>
        <v/>
      </c>
      <c r="E189" s="9">
        <f>IF(C189=0,0,COUNTIF(_Data_B!D:D,0)/502)</f>
        <v/>
      </c>
      <c r="F189" s="9">
        <f>IF(C189=0,0,COUNTIF(_Data_B!G:G,0)/502)</f>
        <v/>
      </c>
      <c r="G189" s="9">
        <f>IF(D189=0,0,E189*F189)</f>
        <v/>
      </c>
      <c r="H189" s="9">
        <f>IF(G189=0,0,D189/G189)</f>
        <v/>
      </c>
      <c r="I189" s="9">
        <f>IF(H189&lt;=0,0,LOG(H189,2))</f>
        <v/>
      </c>
      <c r="J189" s="9">
        <f>D189*I189</f>
        <v/>
      </c>
    </row>
    <row r="190">
      <c r="A190" s="7" t="n">
        <v>0</v>
      </c>
      <c r="B190" s="7" t="n">
        <v>1</v>
      </c>
      <c r="C190" s="8">
        <f>COUNTIFS(_Data_B!D:D,0,_Data_B!G:G,1)</f>
        <v/>
      </c>
      <c r="D190" s="9">
        <f>IF(C190=0,0,C190/502)</f>
        <v/>
      </c>
      <c r="E190" s="9">
        <f>IF(C190=0,0,COUNTIF(_Data_B!D:D,0)/502)</f>
        <v/>
      </c>
      <c r="F190" s="9">
        <f>IF(C190=0,0,COUNTIF(_Data_B!G:G,1)/502)</f>
        <v/>
      </c>
      <c r="G190" s="9">
        <f>IF(D190=0,0,E190*F190)</f>
        <v/>
      </c>
      <c r="H190" s="9">
        <f>IF(G190=0,0,D190/G190)</f>
        <v/>
      </c>
      <c r="I190" s="9">
        <f>IF(H190&lt;=0,0,LOG(H190,2))</f>
        <v/>
      </c>
      <c r="J190" s="9">
        <f>D190*I190</f>
        <v/>
      </c>
    </row>
    <row r="191">
      <c r="A191" s="7" t="n">
        <v>1</v>
      </c>
      <c r="B191" s="7" t="n">
        <v>0</v>
      </c>
      <c r="C191" s="8">
        <f>COUNTIFS(_Data_B!D:D,1,_Data_B!G:G,0)</f>
        <v/>
      </c>
      <c r="D191" s="9">
        <f>IF(C191=0,0,C191/502)</f>
        <v/>
      </c>
      <c r="E191" s="9">
        <f>IF(C191=0,0,COUNTIF(_Data_B!D:D,1)/502)</f>
        <v/>
      </c>
      <c r="F191" s="9">
        <f>IF(C191=0,0,COUNTIF(_Data_B!G:G,0)/502)</f>
        <v/>
      </c>
      <c r="G191" s="9">
        <f>IF(D191=0,0,E191*F191)</f>
        <v/>
      </c>
      <c r="H191" s="9">
        <f>IF(G191=0,0,D191/G191)</f>
        <v/>
      </c>
      <c r="I191" s="9">
        <f>IF(H191&lt;=0,0,LOG(H191,2))</f>
        <v/>
      </c>
      <c r="J191" s="9">
        <f>D191*I191</f>
        <v/>
      </c>
    </row>
    <row r="192">
      <c r="A192" s="7" t="n">
        <v>1</v>
      </c>
      <c r="B192" s="7" t="n">
        <v>1</v>
      </c>
      <c r="C192" s="8">
        <f>COUNTIFS(_Data_B!D:D,1,_Data_B!G:G,1)</f>
        <v/>
      </c>
      <c r="D192" s="9">
        <f>IF(C192=0,0,C192/502)</f>
        <v/>
      </c>
      <c r="E192" s="9">
        <f>IF(C192=0,0,COUNTIF(_Data_B!D:D,1)/502)</f>
        <v/>
      </c>
      <c r="F192" s="9">
        <f>IF(C192=0,0,COUNTIF(_Data_B!G:G,1)/502)</f>
        <v/>
      </c>
      <c r="G192" s="9">
        <f>IF(D192=0,0,E192*F192)</f>
        <v/>
      </c>
      <c r="H192" s="9">
        <f>IF(G192=0,0,D192/G192)</f>
        <v/>
      </c>
      <c r="I192" s="9">
        <f>IF(H192&lt;=0,0,LOG(H192,2))</f>
        <v/>
      </c>
      <c r="J192" s="9">
        <f>D192*I192</f>
        <v/>
      </c>
    </row>
    <row r="193">
      <c r="A193" s="2" t="inlineStr">
        <is>
          <t>IM(x4,x3) =</t>
        </is>
      </c>
      <c r="B193" s="26" t="n"/>
      <c r="C193" s="26" t="n"/>
      <c r="D193" s="26" t="n"/>
      <c r="E193" s="26" t="n"/>
      <c r="F193" s="26" t="n"/>
      <c r="G193" s="26" t="n"/>
      <c r="H193" s="26" t="n"/>
      <c r="I193" s="27" t="n"/>
      <c r="J193" s="11">
        <f>SUM(J189:J192)</f>
        <v/>
      </c>
    </row>
    <row r="196">
      <c r="A196" s="4" t="inlineStr">
        <is>
          <t>x6 — x9</t>
        </is>
      </c>
      <c r="B196" s="26" t="n"/>
      <c r="C196" s="26" t="n"/>
      <c r="D196" s="26" t="n"/>
      <c r="E196" s="26" t="n"/>
      <c r="F196" s="26" t="n"/>
      <c r="G196" s="26" t="n"/>
      <c r="H196" s="26" t="n"/>
      <c r="I196" s="26" t="n"/>
      <c r="J196" s="27" t="n"/>
    </row>
    <row r="197">
      <c r="A197" s="6" t="inlineStr">
        <is>
          <t>x6</t>
        </is>
      </c>
      <c r="B197" s="6" t="inlineStr">
        <is>
          <t>x9</t>
        </is>
      </c>
      <c r="C197" s="6" t="inlineStr">
        <is>
          <t>freq</t>
        </is>
      </c>
      <c r="D197" s="6" t="inlineStr">
        <is>
          <t>p(x6,x9)</t>
        </is>
      </c>
      <c r="E197" s="6" t="inlineStr">
        <is>
          <t>p(x6)</t>
        </is>
      </c>
      <c r="F197" s="6" t="inlineStr">
        <is>
          <t>p(x9)</t>
        </is>
      </c>
      <c r="G197" s="6" t="inlineStr">
        <is>
          <t>p(a)·p(b)</t>
        </is>
      </c>
      <c r="H197" s="6" t="inlineStr">
        <is>
          <t>ratio</t>
        </is>
      </c>
      <c r="I197" s="6" t="inlineStr">
        <is>
          <t>log₂(ratio)</t>
        </is>
      </c>
      <c r="J197" s="6" t="inlineStr">
        <is>
          <t>p·log₂(ratio)</t>
        </is>
      </c>
    </row>
    <row r="198">
      <c r="A198" s="7" t="n">
        <v>0</v>
      </c>
      <c r="B198" s="7" t="n">
        <v>0</v>
      </c>
      <c r="C198" s="8">
        <f>COUNTIFS(_Data_B!E:E,0,_Data_B!F:F,0)</f>
        <v/>
      </c>
      <c r="D198" s="9">
        <f>IF(C198=0,0,C198/502)</f>
        <v/>
      </c>
      <c r="E198" s="9">
        <f>IF(C198=0,0,COUNTIF(_Data_B!E:E,0)/502)</f>
        <v/>
      </c>
      <c r="F198" s="9">
        <f>IF(C198=0,0,COUNTIF(_Data_B!F:F,0)/502)</f>
        <v/>
      </c>
      <c r="G198" s="9">
        <f>IF(D198=0,0,E198*F198)</f>
        <v/>
      </c>
      <c r="H198" s="9">
        <f>IF(G198=0,0,D198/G198)</f>
        <v/>
      </c>
      <c r="I198" s="9">
        <f>IF(H198&lt;=0,0,LOG(H198,2))</f>
        <v/>
      </c>
      <c r="J198" s="9">
        <f>D198*I198</f>
        <v/>
      </c>
    </row>
    <row r="199">
      <c r="A199" s="7" t="n">
        <v>0</v>
      </c>
      <c r="B199" s="7" t="n">
        <v>1</v>
      </c>
      <c r="C199" s="8">
        <f>COUNTIFS(_Data_B!E:E,0,_Data_B!F:F,1)</f>
        <v/>
      </c>
      <c r="D199" s="9">
        <f>IF(C199=0,0,C199/502)</f>
        <v/>
      </c>
      <c r="E199" s="9">
        <f>IF(C199=0,0,COUNTIF(_Data_B!E:E,0)/502)</f>
        <v/>
      </c>
      <c r="F199" s="9">
        <f>IF(C199=0,0,COUNTIF(_Data_B!F:F,1)/502)</f>
        <v/>
      </c>
      <c r="G199" s="9">
        <f>IF(D199=0,0,E199*F199)</f>
        <v/>
      </c>
      <c r="H199" s="9">
        <f>IF(G199=0,0,D199/G199)</f>
        <v/>
      </c>
      <c r="I199" s="9">
        <f>IF(H199&lt;=0,0,LOG(H199,2))</f>
        <v/>
      </c>
      <c r="J199" s="9">
        <f>D199*I199</f>
        <v/>
      </c>
    </row>
    <row r="200">
      <c r="A200" s="7" t="n">
        <v>0</v>
      </c>
      <c r="B200" s="7" t="n">
        <v>2</v>
      </c>
      <c r="C200" s="8">
        <f>COUNTIFS(_Data_B!E:E,0,_Data_B!F:F,2)</f>
        <v/>
      </c>
      <c r="D200" s="9">
        <f>IF(C200=0,0,C200/502)</f>
        <v/>
      </c>
      <c r="E200" s="9">
        <f>IF(C200=0,0,COUNTIF(_Data_B!E:E,0)/502)</f>
        <v/>
      </c>
      <c r="F200" s="9">
        <f>IF(C200=0,0,COUNTIF(_Data_B!F:F,2)/502)</f>
        <v/>
      </c>
      <c r="G200" s="9">
        <f>IF(D200=0,0,E200*F200)</f>
        <v/>
      </c>
      <c r="H200" s="9">
        <f>IF(G200=0,0,D200/G200)</f>
        <v/>
      </c>
      <c r="I200" s="9">
        <f>IF(H200&lt;=0,0,LOG(H200,2))</f>
        <v/>
      </c>
      <c r="J200" s="9">
        <f>D200*I200</f>
        <v/>
      </c>
    </row>
    <row r="201">
      <c r="A201" s="7" t="n">
        <v>0</v>
      </c>
      <c r="B201" s="7" t="n">
        <v>3</v>
      </c>
      <c r="C201" s="8">
        <f>COUNTIFS(_Data_B!E:E,0,_Data_B!F:F,3)</f>
        <v/>
      </c>
      <c r="D201" s="9">
        <f>IF(C201=0,0,C201/502)</f>
        <v/>
      </c>
      <c r="E201" s="9">
        <f>IF(C201=0,0,COUNTIF(_Data_B!E:E,0)/502)</f>
        <v/>
      </c>
      <c r="F201" s="9">
        <f>IF(C201=0,0,COUNTIF(_Data_B!F:F,3)/502)</f>
        <v/>
      </c>
      <c r="G201" s="9">
        <f>IF(D201=0,0,E201*F201)</f>
        <v/>
      </c>
      <c r="H201" s="9">
        <f>IF(G201=0,0,D201/G201)</f>
        <v/>
      </c>
      <c r="I201" s="9">
        <f>IF(H201&lt;=0,0,LOG(H201,2))</f>
        <v/>
      </c>
      <c r="J201" s="9">
        <f>D201*I201</f>
        <v/>
      </c>
    </row>
    <row r="202">
      <c r="A202" s="7" t="n">
        <v>1</v>
      </c>
      <c r="B202" s="7" t="n">
        <v>0</v>
      </c>
      <c r="C202" s="8">
        <f>COUNTIFS(_Data_B!E:E,1,_Data_B!F:F,0)</f>
        <v/>
      </c>
      <c r="D202" s="9">
        <f>IF(C202=0,0,C202/502)</f>
        <v/>
      </c>
      <c r="E202" s="9">
        <f>IF(C202=0,0,COUNTIF(_Data_B!E:E,1)/502)</f>
        <v/>
      </c>
      <c r="F202" s="9">
        <f>IF(C202=0,0,COUNTIF(_Data_B!F:F,0)/502)</f>
        <v/>
      </c>
      <c r="G202" s="9">
        <f>IF(D202=0,0,E202*F202)</f>
        <v/>
      </c>
      <c r="H202" s="9">
        <f>IF(G202=0,0,D202/G202)</f>
        <v/>
      </c>
      <c r="I202" s="9">
        <f>IF(H202&lt;=0,0,LOG(H202,2))</f>
        <v/>
      </c>
      <c r="J202" s="9">
        <f>D202*I202</f>
        <v/>
      </c>
    </row>
    <row r="203">
      <c r="A203" s="7" t="n">
        <v>1</v>
      </c>
      <c r="B203" s="7" t="n">
        <v>1</v>
      </c>
      <c r="C203" s="8">
        <f>COUNTIFS(_Data_B!E:E,1,_Data_B!F:F,1)</f>
        <v/>
      </c>
      <c r="D203" s="9">
        <f>IF(C203=0,0,C203/502)</f>
        <v/>
      </c>
      <c r="E203" s="9">
        <f>IF(C203=0,0,COUNTIF(_Data_B!E:E,1)/502)</f>
        <v/>
      </c>
      <c r="F203" s="9">
        <f>IF(C203=0,0,COUNTIF(_Data_B!F:F,1)/502)</f>
        <v/>
      </c>
      <c r="G203" s="9">
        <f>IF(D203=0,0,E203*F203)</f>
        <v/>
      </c>
      <c r="H203" s="9">
        <f>IF(G203=0,0,D203/G203)</f>
        <v/>
      </c>
      <c r="I203" s="9">
        <f>IF(H203&lt;=0,0,LOG(H203,2))</f>
        <v/>
      </c>
      <c r="J203" s="9">
        <f>D203*I203</f>
        <v/>
      </c>
    </row>
    <row r="204">
      <c r="A204" s="7" t="n">
        <v>1</v>
      </c>
      <c r="B204" s="7" t="n">
        <v>2</v>
      </c>
      <c r="C204" s="8">
        <f>COUNTIFS(_Data_B!E:E,1,_Data_B!F:F,2)</f>
        <v/>
      </c>
      <c r="D204" s="9">
        <f>IF(C204=0,0,C204/502)</f>
        <v/>
      </c>
      <c r="E204" s="9">
        <f>IF(C204=0,0,COUNTIF(_Data_B!E:E,1)/502)</f>
        <v/>
      </c>
      <c r="F204" s="9">
        <f>IF(C204=0,0,COUNTIF(_Data_B!F:F,2)/502)</f>
        <v/>
      </c>
      <c r="G204" s="9">
        <f>IF(D204=0,0,E204*F204)</f>
        <v/>
      </c>
      <c r="H204" s="9">
        <f>IF(G204=0,0,D204/G204)</f>
        <v/>
      </c>
      <c r="I204" s="9">
        <f>IF(H204&lt;=0,0,LOG(H204,2))</f>
        <v/>
      </c>
      <c r="J204" s="9">
        <f>D204*I204</f>
        <v/>
      </c>
    </row>
    <row r="205">
      <c r="A205" s="7" t="n">
        <v>1</v>
      </c>
      <c r="B205" s="7" t="n">
        <v>3</v>
      </c>
      <c r="C205" s="8">
        <f>COUNTIFS(_Data_B!E:E,1,_Data_B!F:F,3)</f>
        <v/>
      </c>
      <c r="D205" s="9">
        <f>IF(C205=0,0,C205/502)</f>
        <v/>
      </c>
      <c r="E205" s="9">
        <f>IF(C205=0,0,COUNTIF(_Data_B!E:E,1)/502)</f>
        <v/>
      </c>
      <c r="F205" s="9">
        <f>IF(C205=0,0,COUNTIF(_Data_B!F:F,3)/502)</f>
        <v/>
      </c>
      <c r="G205" s="9">
        <f>IF(D205=0,0,E205*F205)</f>
        <v/>
      </c>
      <c r="H205" s="9">
        <f>IF(G205=0,0,D205/G205)</f>
        <v/>
      </c>
      <c r="I205" s="9">
        <f>IF(H205&lt;=0,0,LOG(H205,2))</f>
        <v/>
      </c>
      <c r="J205" s="9">
        <f>D205*I205</f>
        <v/>
      </c>
    </row>
    <row r="206">
      <c r="A206" s="2" t="inlineStr">
        <is>
          <t>IM(x6,x9) =</t>
        </is>
      </c>
      <c r="B206" s="26" t="n"/>
      <c r="C206" s="26" t="n"/>
      <c r="D206" s="26" t="n"/>
      <c r="E206" s="26" t="n"/>
      <c r="F206" s="26" t="n"/>
      <c r="G206" s="26" t="n"/>
      <c r="H206" s="26" t="n"/>
      <c r="I206" s="27" t="n"/>
      <c r="J206" s="11">
        <f>SUM(J198:J205)</f>
        <v/>
      </c>
    </row>
    <row r="209">
      <c r="A209" s="4" t="inlineStr">
        <is>
          <t>x6 — x3</t>
        </is>
      </c>
      <c r="B209" s="26" t="n"/>
      <c r="C209" s="26" t="n"/>
      <c r="D209" s="26" t="n"/>
      <c r="E209" s="26" t="n"/>
      <c r="F209" s="26" t="n"/>
      <c r="G209" s="26" t="n"/>
      <c r="H209" s="26" t="n"/>
      <c r="I209" s="26" t="n"/>
      <c r="J209" s="27" t="n"/>
    </row>
    <row r="210">
      <c r="A210" s="6" t="inlineStr">
        <is>
          <t>x6</t>
        </is>
      </c>
      <c r="B210" s="6" t="inlineStr">
        <is>
          <t>x3</t>
        </is>
      </c>
      <c r="C210" s="6" t="inlineStr">
        <is>
          <t>freq</t>
        </is>
      </c>
      <c r="D210" s="6" t="inlineStr">
        <is>
          <t>p(x6,x3)</t>
        </is>
      </c>
      <c r="E210" s="6" t="inlineStr">
        <is>
          <t>p(x6)</t>
        </is>
      </c>
      <c r="F210" s="6" t="inlineStr">
        <is>
          <t>p(x3)</t>
        </is>
      </c>
      <c r="G210" s="6" t="inlineStr">
        <is>
          <t>p(a)·p(b)</t>
        </is>
      </c>
      <c r="H210" s="6" t="inlineStr">
        <is>
          <t>ratio</t>
        </is>
      </c>
      <c r="I210" s="6" t="inlineStr">
        <is>
          <t>log₂(ratio)</t>
        </is>
      </c>
      <c r="J210" s="6" t="inlineStr">
        <is>
          <t>p·log₂(ratio)</t>
        </is>
      </c>
    </row>
    <row r="211">
      <c r="A211" s="7" t="n">
        <v>0</v>
      </c>
      <c r="B211" s="7" t="n">
        <v>0</v>
      </c>
      <c r="C211" s="8">
        <f>COUNTIFS(_Data_B!E:E,0,_Data_B!G:G,0)</f>
        <v/>
      </c>
      <c r="D211" s="9">
        <f>IF(C211=0,0,C211/502)</f>
        <v/>
      </c>
      <c r="E211" s="9">
        <f>IF(C211=0,0,COUNTIF(_Data_B!E:E,0)/502)</f>
        <v/>
      </c>
      <c r="F211" s="9">
        <f>IF(C211=0,0,COUNTIF(_Data_B!G:G,0)/502)</f>
        <v/>
      </c>
      <c r="G211" s="9">
        <f>IF(D211=0,0,E211*F211)</f>
        <v/>
      </c>
      <c r="H211" s="9">
        <f>IF(G211=0,0,D211/G211)</f>
        <v/>
      </c>
      <c r="I211" s="9">
        <f>IF(H211&lt;=0,0,LOG(H211,2))</f>
        <v/>
      </c>
      <c r="J211" s="9">
        <f>D211*I211</f>
        <v/>
      </c>
    </row>
    <row r="212">
      <c r="A212" s="7" t="n">
        <v>0</v>
      </c>
      <c r="B212" s="7" t="n">
        <v>1</v>
      </c>
      <c r="C212" s="8">
        <f>COUNTIFS(_Data_B!E:E,0,_Data_B!G:G,1)</f>
        <v/>
      </c>
      <c r="D212" s="9">
        <f>IF(C212=0,0,C212/502)</f>
        <v/>
      </c>
      <c r="E212" s="9">
        <f>IF(C212=0,0,COUNTIF(_Data_B!E:E,0)/502)</f>
        <v/>
      </c>
      <c r="F212" s="9">
        <f>IF(C212=0,0,COUNTIF(_Data_B!G:G,1)/502)</f>
        <v/>
      </c>
      <c r="G212" s="9">
        <f>IF(D212=0,0,E212*F212)</f>
        <v/>
      </c>
      <c r="H212" s="9">
        <f>IF(G212=0,0,D212/G212)</f>
        <v/>
      </c>
      <c r="I212" s="9">
        <f>IF(H212&lt;=0,0,LOG(H212,2))</f>
        <v/>
      </c>
      <c r="J212" s="9">
        <f>D212*I212</f>
        <v/>
      </c>
    </row>
    <row r="213">
      <c r="A213" s="7" t="n">
        <v>1</v>
      </c>
      <c r="B213" s="7" t="n">
        <v>0</v>
      </c>
      <c r="C213" s="8">
        <f>COUNTIFS(_Data_B!E:E,1,_Data_B!G:G,0)</f>
        <v/>
      </c>
      <c r="D213" s="9">
        <f>IF(C213=0,0,C213/502)</f>
        <v/>
      </c>
      <c r="E213" s="9">
        <f>IF(C213=0,0,COUNTIF(_Data_B!E:E,1)/502)</f>
        <v/>
      </c>
      <c r="F213" s="9">
        <f>IF(C213=0,0,COUNTIF(_Data_B!G:G,0)/502)</f>
        <v/>
      </c>
      <c r="G213" s="9">
        <f>IF(D213=0,0,E213*F213)</f>
        <v/>
      </c>
      <c r="H213" s="9">
        <f>IF(G213=0,0,D213/G213)</f>
        <v/>
      </c>
      <c r="I213" s="9">
        <f>IF(H213&lt;=0,0,LOG(H213,2))</f>
        <v/>
      </c>
      <c r="J213" s="9">
        <f>D213*I213</f>
        <v/>
      </c>
    </row>
    <row r="214">
      <c r="A214" s="7" t="n">
        <v>1</v>
      </c>
      <c r="B214" s="7" t="n">
        <v>1</v>
      </c>
      <c r="C214" s="8">
        <f>COUNTIFS(_Data_B!E:E,1,_Data_B!G:G,1)</f>
        <v/>
      </c>
      <c r="D214" s="9">
        <f>IF(C214=0,0,C214/502)</f>
        <v/>
      </c>
      <c r="E214" s="9">
        <f>IF(C214=0,0,COUNTIF(_Data_B!E:E,1)/502)</f>
        <v/>
      </c>
      <c r="F214" s="9">
        <f>IF(C214=0,0,COUNTIF(_Data_B!G:G,1)/502)</f>
        <v/>
      </c>
      <c r="G214" s="9">
        <f>IF(D214=0,0,E214*F214)</f>
        <v/>
      </c>
      <c r="H214" s="9">
        <f>IF(G214=0,0,D214/G214)</f>
        <v/>
      </c>
      <c r="I214" s="9">
        <f>IF(H214&lt;=0,0,LOG(H214,2))</f>
        <v/>
      </c>
      <c r="J214" s="9">
        <f>D214*I214</f>
        <v/>
      </c>
    </row>
    <row r="215">
      <c r="A215" s="2" t="inlineStr">
        <is>
          <t>IM(x6,x3) =</t>
        </is>
      </c>
      <c r="B215" s="26" t="n"/>
      <c r="C215" s="26" t="n"/>
      <c r="D215" s="26" t="n"/>
      <c r="E215" s="26" t="n"/>
      <c r="F215" s="26" t="n"/>
      <c r="G215" s="26" t="n"/>
      <c r="H215" s="26" t="n"/>
      <c r="I215" s="27" t="n"/>
      <c r="J215" s="11">
        <f>SUM(J211:J214)</f>
        <v/>
      </c>
    </row>
    <row r="218">
      <c r="A218" s="4" t="inlineStr">
        <is>
          <t>x9 — x3</t>
        </is>
      </c>
      <c r="B218" s="26" t="n"/>
      <c r="C218" s="26" t="n"/>
      <c r="D218" s="26" t="n"/>
      <c r="E218" s="26" t="n"/>
      <c r="F218" s="26" t="n"/>
      <c r="G218" s="26" t="n"/>
      <c r="H218" s="26" t="n"/>
      <c r="I218" s="26" t="n"/>
      <c r="J218" s="27" t="n"/>
    </row>
    <row r="219">
      <c r="A219" s="6" t="inlineStr">
        <is>
          <t>x9</t>
        </is>
      </c>
      <c r="B219" s="6" t="inlineStr">
        <is>
          <t>x3</t>
        </is>
      </c>
      <c r="C219" s="6" t="inlineStr">
        <is>
          <t>freq</t>
        </is>
      </c>
      <c r="D219" s="6" t="inlineStr">
        <is>
          <t>p(x9,x3)</t>
        </is>
      </c>
      <c r="E219" s="6" t="inlineStr">
        <is>
          <t>p(x9)</t>
        </is>
      </c>
      <c r="F219" s="6" t="inlineStr">
        <is>
          <t>p(x3)</t>
        </is>
      </c>
      <c r="G219" s="6" t="inlineStr">
        <is>
          <t>p(a)·p(b)</t>
        </is>
      </c>
      <c r="H219" s="6" t="inlineStr">
        <is>
          <t>ratio</t>
        </is>
      </c>
      <c r="I219" s="6" t="inlineStr">
        <is>
          <t>log₂(ratio)</t>
        </is>
      </c>
      <c r="J219" s="6" t="inlineStr">
        <is>
          <t>p·log₂(ratio)</t>
        </is>
      </c>
    </row>
    <row r="220">
      <c r="A220" s="7" t="n">
        <v>0</v>
      </c>
      <c r="B220" s="7" t="n">
        <v>0</v>
      </c>
      <c r="C220" s="8">
        <f>COUNTIFS(_Data_B!F:F,0,_Data_B!G:G,0)</f>
        <v/>
      </c>
      <c r="D220" s="9">
        <f>IF(C220=0,0,C220/502)</f>
        <v/>
      </c>
      <c r="E220" s="9">
        <f>IF(C220=0,0,COUNTIF(_Data_B!F:F,0)/502)</f>
        <v/>
      </c>
      <c r="F220" s="9">
        <f>IF(C220=0,0,COUNTIF(_Data_B!G:G,0)/502)</f>
        <v/>
      </c>
      <c r="G220" s="9">
        <f>IF(D220=0,0,E220*F220)</f>
        <v/>
      </c>
      <c r="H220" s="9">
        <f>IF(G220=0,0,D220/G220)</f>
        <v/>
      </c>
      <c r="I220" s="9">
        <f>IF(H220&lt;=0,0,LOG(H220,2))</f>
        <v/>
      </c>
      <c r="J220" s="9">
        <f>D220*I220</f>
        <v/>
      </c>
    </row>
    <row r="221">
      <c r="A221" s="7" t="n">
        <v>0</v>
      </c>
      <c r="B221" s="7" t="n">
        <v>1</v>
      </c>
      <c r="C221" s="8">
        <f>COUNTIFS(_Data_B!F:F,0,_Data_B!G:G,1)</f>
        <v/>
      </c>
      <c r="D221" s="9">
        <f>IF(C221=0,0,C221/502)</f>
        <v/>
      </c>
      <c r="E221" s="9">
        <f>IF(C221=0,0,COUNTIF(_Data_B!F:F,0)/502)</f>
        <v/>
      </c>
      <c r="F221" s="9">
        <f>IF(C221=0,0,COUNTIF(_Data_B!G:G,1)/502)</f>
        <v/>
      </c>
      <c r="G221" s="9">
        <f>IF(D221=0,0,E221*F221)</f>
        <v/>
      </c>
      <c r="H221" s="9">
        <f>IF(G221=0,0,D221/G221)</f>
        <v/>
      </c>
      <c r="I221" s="9">
        <f>IF(H221&lt;=0,0,LOG(H221,2))</f>
        <v/>
      </c>
      <c r="J221" s="9">
        <f>D221*I221</f>
        <v/>
      </c>
    </row>
    <row r="222">
      <c r="A222" s="7" t="n">
        <v>1</v>
      </c>
      <c r="B222" s="7" t="n">
        <v>0</v>
      </c>
      <c r="C222" s="8">
        <f>COUNTIFS(_Data_B!F:F,1,_Data_B!G:G,0)</f>
        <v/>
      </c>
      <c r="D222" s="9">
        <f>IF(C222=0,0,C222/502)</f>
        <v/>
      </c>
      <c r="E222" s="9">
        <f>IF(C222=0,0,COUNTIF(_Data_B!F:F,1)/502)</f>
        <v/>
      </c>
      <c r="F222" s="9">
        <f>IF(C222=0,0,COUNTIF(_Data_B!G:G,0)/502)</f>
        <v/>
      </c>
      <c r="G222" s="9">
        <f>IF(D222=0,0,E222*F222)</f>
        <v/>
      </c>
      <c r="H222" s="9">
        <f>IF(G222=0,0,D222/G222)</f>
        <v/>
      </c>
      <c r="I222" s="9">
        <f>IF(H222&lt;=0,0,LOG(H222,2))</f>
        <v/>
      </c>
      <c r="J222" s="9">
        <f>D222*I222</f>
        <v/>
      </c>
    </row>
    <row r="223">
      <c r="A223" s="7" t="n">
        <v>1</v>
      </c>
      <c r="B223" s="7" t="n">
        <v>1</v>
      </c>
      <c r="C223" s="8">
        <f>COUNTIFS(_Data_B!F:F,1,_Data_B!G:G,1)</f>
        <v/>
      </c>
      <c r="D223" s="9">
        <f>IF(C223=0,0,C223/502)</f>
        <v/>
      </c>
      <c r="E223" s="9">
        <f>IF(C223=0,0,COUNTIF(_Data_B!F:F,1)/502)</f>
        <v/>
      </c>
      <c r="F223" s="9">
        <f>IF(C223=0,0,COUNTIF(_Data_B!G:G,1)/502)</f>
        <v/>
      </c>
      <c r="G223" s="9">
        <f>IF(D223=0,0,E223*F223)</f>
        <v/>
      </c>
      <c r="H223" s="9">
        <f>IF(G223=0,0,D223/G223)</f>
        <v/>
      </c>
      <c r="I223" s="9">
        <f>IF(H223&lt;=0,0,LOG(H223,2))</f>
        <v/>
      </c>
      <c r="J223" s="9">
        <f>D223*I223</f>
        <v/>
      </c>
    </row>
    <row r="224">
      <c r="A224" s="7" t="n">
        <v>2</v>
      </c>
      <c r="B224" s="7" t="n">
        <v>0</v>
      </c>
      <c r="C224" s="8">
        <f>COUNTIFS(_Data_B!F:F,2,_Data_B!G:G,0)</f>
        <v/>
      </c>
      <c r="D224" s="9">
        <f>IF(C224=0,0,C224/502)</f>
        <v/>
      </c>
      <c r="E224" s="9">
        <f>IF(C224=0,0,COUNTIF(_Data_B!F:F,2)/502)</f>
        <v/>
      </c>
      <c r="F224" s="9">
        <f>IF(C224=0,0,COUNTIF(_Data_B!G:G,0)/502)</f>
        <v/>
      </c>
      <c r="G224" s="9">
        <f>IF(D224=0,0,E224*F224)</f>
        <v/>
      </c>
      <c r="H224" s="9">
        <f>IF(G224=0,0,D224/G224)</f>
        <v/>
      </c>
      <c r="I224" s="9">
        <f>IF(H224&lt;=0,0,LOG(H224,2))</f>
        <v/>
      </c>
      <c r="J224" s="9">
        <f>D224*I224</f>
        <v/>
      </c>
    </row>
    <row r="225">
      <c r="A225" s="7" t="n">
        <v>2</v>
      </c>
      <c r="B225" s="7" t="n">
        <v>1</v>
      </c>
      <c r="C225" s="8">
        <f>COUNTIFS(_Data_B!F:F,2,_Data_B!G:G,1)</f>
        <v/>
      </c>
      <c r="D225" s="9">
        <f>IF(C225=0,0,C225/502)</f>
        <v/>
      </c>
      <c r="E225" s="9">
        <f>IF(C225=0,0,COUNTIF(_Data_B!F:F,2)/502)</f>
        <v/>
      </c>
      <c r="F225" s="9">
        <f>IF(C225=0,0,COUNTIF(_Data_B!G:G,1)/502)</f>
        <v/>
      </c>
      <c r="G225" s="9">
        <f>IF(D225=0,0,E225*F225)</f>
        <v/>
      </c>
      <c r="H225" s="9">
        <f>IF(G225=0,0,D225/G225)</f>
        <v/>
      </c>
      <c r="I225" s="9">
        <f>IF(H225&lt;=0,0,LOG(H225,2))</f>
        <v/>
      </c>
      <c r="J225" s="9">
        <f>D225*I225</f>
        <v/>
      </c>
    </row>
    <row r="226">
      <c r="A226" s="7" t="n">
        <v>3</v>
      </c>
      <c r="B226" s="7" t="n">
        <v>0</v>
      </c>
      <c r="C226" s="8">
        <f>COUNTIFS(_Data_B!F:F,3,_Data_B!G:G,0)</f>
        <v/>
      </c>
      <c r="D226" s="9">
        <f>IF(C226=0,0,C226/502)</f>
        <v/>
      </c>
      <c r="E226" s="9">
        <f>IF(C226=0,0,COUNTIF(_Data_B!F:F,3)/502)</f>
        <v/>
      </c>
      <c r="F226" s="9">
        <f>IF(C226=0,0,COUNTIF(_Data_B!G:G,0)/502)</f>
        <v/>
      </c>
      <c r="G226" s="9">
        <f>IF(D226=0,0,E226*F226)</f>
        <v/>
      </c>
      <c r="H226" s="9">
        <f>IF(G226=0,0,D226/G226)</f>
        <v/>
      </c>
      <c r="I226" s="9">
        <f>IF(H226&lt;=0,0,LOG(H226,2))</f>
        <v/>
      </c>
      <c r="J226" s="9">
        <f>D226*I226</f>
        <v/>
      </c>
    </row>
    <row r="227">
      <c r="A227" s="7" t="n">
        <v>3</v>
      </c>
      <c r="B227" s="7" t="n">
        <v>1</v>
      </c>
      <c r="C227" s="8">
        <f>COUNTIFS(_Data_B!F:F,3,_Data_B!G:G,1)</f>
        <v/>
      </c>
      <c r="D227" s="9">
        <f>IF(C227=0,0,C227/502)</f>
        <v/>
      </c>
      <c r="E227" s="9">
        <f>IF(C227=0,0,COUNTIF(_Data_B!F:F,3)/502)</f>
        <v/>
      </c>
      <c r="F227" s="9">
        <f>IF(C227=0,0,COUNTIF(_Data_B!G:G,1)/502)</f>
        <v/>
      </c>
      <c r="G227" s="9">
        <f>IF(D227=0,0,E227*F227)</f>
        <v/>
      </c>
      <c r="H227" s="9">
        <f>IF(G227=0,0,D227/G227)</f>
        <v/>
      </c>
      <c r="I227" s="9">
        <f>IF(H227&lt;=0,0,LOG(H227,2))</f>
        <v/>
      </c>
      <c r="J227" s="9">
        <f>D227*I227</f>
        <v/>
      </c>
    </row>
    <row r="228">
      <c r="A228" s="2" t="inlineStr">
        <is>
          <t>IM(x9,x3) =</t>
        </is>
      </c>
      <c r="B228" s="26" t="n"/>
      <c r="C228" s="26" t="n"/>
      <c r="D228" s="26" t="n"/>
      <c r="E228" s="26" t="n"/>
      <c r="F228" s="26" t="n"/>
      <c r="G228" s="26" t="n"/>
      <c r="H228" s="26" t="n"/>
      <c r="I228" s="27" t="n"/>
      <c r="J228" s="11">
        <f>SUM(J220:J227)</f>
        <v/>
      </c>
    </row>
  </sheetData>
  <mergeCells count="42">
    <mergeCell ref="A90:I90"/>
    <mergeCell ref="A126:J126"/>
    <mergeCell ref="A193:I193"/>
    <mergeCell ref="A106:J106"/>
    <mergeCell ref="A4:J4"/>
    <mergeCell ref="A209:J209"/>
    <mergeCell ref="A165:J165"/>
    <mergeCell ref="A21:I21"/>
    <mergeCell ref="A13:J13"/>
    <mergeCell ref="A115:J115"/>
    <mergeCell ref="A93:J93"/>
    <mergeCell ref="A151:I151"/>
    <mergeCell ref="A24:J24"/>
    <mergeCell ref="A184:I184"/>
    <mergeCell ref="A215:I215"/>
    <mergeCell ref="A64:J64"/>
    <mergeCell ref="A206:I206"/>
    <mergeCell ref="A171:I171"/>
    <mergeCell ref="A72:I72"/>
    <mergeCell ref="A52:I52"/>
    <mergeCell ref="A134:I134"/>
    <mergeCell ref="A81:I81"/>
    <mergeCell ref="A112:I112"/>
    <mergeCell ref="A10:I10"/>
    <mergeCell ref="A196:J196"/>
    <mergeCell ref="A174:J174"/>
    <mergeCell ref="A39:I39"/>
    <mergeCell ref="A187:J187"/>
    <mergeCell ref="A218:J218"/>
    <mergeCell ref="A137:J137"/>
    <mergeCell ref="A30:I30"/>
    <mergeCell ref="A75:J75"/>
    <mergeCell ref="A84:J84"/>
    <mergeCell ref="A103:I103"/>
    <mergeCell ref="A123:I123"/>
    <mergeCell ref="A154:J154"/>
    <mergeCell ref="A55:J55"/>
    <mergeCell ref="A61:I61"/>
    <mergeCell ref="A162:I162"/>
    <mergeCell ref="A228:I228"/>
    <mergeCell ref="A42:J42"/>
    <mergeCell ref="A33:J3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12" customWidth="1" min="3" max="3"/>
    <col width="27" customWidth="1" min="4" max="4"/>
    <col width="28" customWidth="1" min="5" max="5"/>
    <col width="12" customWidth="1" min="6" max="6"/>
  </cols>
  <sheetData>
    <row r="1">
      <c r="A1" s="12" t="inlineStr">
        <is>
          <t>Dataset B — Entropía de Shannon</t>
        </is>
      </c>
    </row>
    <row r="2">
      <c r="A2" s="13" t="inlineStr">
        <is>
          <t>Registros: 502</t>
        </is>
      </c>
    </row>
    <row r="4">
      <c r="A4" s="14" t="inlineStr">
        <is>
          <t>H(x1)</t>
        </is>
      </c>
      <c r="B4" s="26" t="n"/>
      <c r="C4" s="26" t="n"/>
      <c r="D4" s="26" t="n"/>
      <c r="E4" s="26" t="n"/>
      <c r="F4" s="27" t="n"/>
    </row>
    <row r="5">
      <c r="A5" s="6" t="inlineStr">
        <is>
          <t>Valor (x)</t>
        </is>
      </c>
      <c r="B5" s="6" t="inlineStr">
        <is>
          <t>Frecuencia</t>
        </is>
      </c>
      <c r="C5" s="6" t="inlineStr">
        <is>
          <t>p(x)</t>
        </is>
      </c>
      <c r="D5" s="6" t="inlineStr">
        <is>
          <t>-log₂(p(x))</t>
        </is>
      </c>
      <c r="E5" s="6" t="inlineStr">
        <is>
          <t>-p(x)·log₂(p(x))</t>
        </is>
      </c>
    </row>
    <row r="6">
      <c r="A6" s="7" t="n">
        <v>0</v>
      </c>
      <c r="B6" s="8">
        <f>COUNTIF(_Data_B!A:A,0)</f>
        <v/>
      </c>
      <c r="C6" s="9">
        <f>B6/502</f>
        <v/>
      </c>
      <c r="D6" s="9">
        <f>IF(C6=0,0,-LOG(C6,2))</f>
        <v/>
      </c>
      <c r="E6" s="9">
        <f>IF(C6=0,0,-C6*LOG(C6,2))</f>
        <v/>
      </c>
    </row>
    <row r="7">
      <c r="A7" s="7" t="n">
        <v>1</v>
      </c>
      <c r="B7" s="8">
        <f>COUNTIF(_Data_B!A:A,1)</f>
        <v/>
      </c>
      <c r="C7" s="9">
        <f>B7/502</f>
        <v/>
      </c>
      <c r="D7" s="9">
        <f>IF(C7=0,0,-LOG(C7,2))</f>
        <v/>
      </c>
      <c r="E7" s="9">
        <f>IF(C7=0,0,-C7*LOG(C7,2))</f>
        <v/>
      </c>
    </row>
    <row r="8">
      <c r="A8" s="2" t="inlineStr">
        <is>
          <t>Total</t>
        </is>
      </c>
      <c r="B8" s="3">
        <f>SUM(B6:B7)</f>
        <v/>
      </c>
      <c r="C8" s="16" t="n">
        <v>1</v>
      </c>
      <c r="D8" s="2" t="inlineStr">
        <is>
          <t>H(x1) =</t>
        </is>
      </c>
      <c r="E8" s="11">
        <f>SUM(E6:E7)</f>
        <v/>
      </c>
    </row>
    <row r="11">
      <c r="A11" s="14" t="inlineStr">
        <is>
          <t>H(x2)</t>
        </is>
      </c>
      <c r="B11" s="26" t="n"/>
      <c r="C11" s="26" t="n"/>
      <c r="D11" s="26" t="n"/>
      <c r="E11" s="26" t="n"/>
      <c r="F11" s="27" t="n"/>
    </row>
    <row r="12">
      <c r="A12" s="6" t="inlineStr">
        <is>
          <t>Valor (x)</t>
        </is>
      </c>
      <c r="B12" s="6" t="inlineStr">
        <is>
          <t>Frecuencia</t>
        </is>
      </c>
      <c r="C12" s="6" t="inlineStr">
        <is>
          <t>p(x)</t>
        </is>
      </c>
      <c r="D12" s="6" t="inlineStr">
        <is>
          <t>-log₂(p(x))</t>
        </is>
      </c>
      <c r="E12" s="6" t="inlineStr">
        <is>
          <t>-p(x)·log₂(p(x))</t>
        </is>
      </c>
    </row>
    <row r="13">
      <c r="A13" s="7" t="n">
        <v>0</v>
      </c>
      <c r="B13" s="8">
        <f>COUNTIF(_Data_B!B:B,0)</f>
        <v/>
      </c>
      <c r="C13" s="9">
        <f>B13/502</f>
        <v/>
      </c>
      <c r="D13" s="9">
        <f>IF(C13=0,0,-LOG(C13,2))</f>
        <v/>
      </c>
      <c r="E13" s="9">
        <f>IF(C13=0,0,-C13*LOG(C13,2))</f>
        <v/>
      </c>
    </row>
    <row r="14">
      <c r="A14" s="7" t="n">
        <v>1</v>
      </c>
      <c r="B14" s="8">
        <f>COUNTIF(_Data_B!B:B,1)</f>
        <v/>
      </c>
      <c r="C14" s="9">
        <f>B14/502</f>
        <v/>
      </c>
      <c r="D14" s="9">
        <f>IF(C14=0,0,-LOG(C14,2))</f>
        <v/>
      </c>
      <c r="E14" s="9">
        <f>IF(C14=0,0,-C14*LOG(C14,2))</f>
        <v/>
      </c>
    </row>
    <row r="15">
      <c r="A15" s="2" t="inlineStr">
        <is>
          <t>Total</t>
        </is>
      </c>
      <c r="B15" s="3">
        <f>SUM(B13:B14)</f>
        <v/>
      </c>
      <c r="C15" s="16" t="n">
        <v>1</v>
      </c>
      <c r="D15" s="2" t="inlineStr">
        <is>
          <t>H(x2) =</t>
        </is>
      </c>
      <c r="E15" s="11">
        <f>SUM(E13:E14)</f>
        <v/>
      </c>
    </row>
    <row r="18">
      <c r="A18" s="14" t="inlineStr">
        <is>
          <t>H(x5)</t>
        </is>
      </c>
      <c r="B18" s="26" t="n"/>
      <c r="C18" s="26" t="n"/>
      <c r="D18" s="26" t="n"/>
      <c r="E18" s="26" t="n"/>
      <c r="F18" s="27" t="n"/>
    </row>
    <row r="19">
      <c r="A19" s="6" t="inlineStr">
        <is>
          <t>Valor (x)</t>
        </is>
      </c>
      <c r="B19" s="6" t="inlineStr">
        <is>
          <t>Frecuencia</t>
        </is>
      </c>
      <c r="C19" s="6" t="inlineStr">
        <is>
          <t>p(x)</t>
        </is>
      </c>
      <c r="D19" s="6" t="inlineStr">
        <is>
          <t>-log₂(p(x))</t>
        </is>
      </c>
      <c r="E19" s="6" t="inlineStr">
        <is>
          <t>-p(x)·log₂(p(x))</t>
        </is>
      </c>
    </row>
    <row r="20">
      <c r="A20" s="7" t="n">
        <v>0</v>
      </c>
      <c r="B20" s="8">
        <f>COUNTIF(_Data_B!C:C,0)</f>
        <v/>
      </c>
      <c r="C20" s="9">
        <f>B20/502</f>
        <v/>
      </c>
      <c r="D20" s="9">
        <f>IF(C20=0,0,-LOG(C20,2))</f>
        <v/>
      </c>
      <c r="E20" s="9">
        <f>IF(C20=0,0,-C20*LOG(C20,2))</f>
        <v/>
      </c>
    </row>
    <row r="21">
      <c r="A21" s="7" t="n">
        <v>1</v>
      </c>
      <c r="B21" s="8">
        <f>COUNTIF(_Data_B!C:C,1)</f>
        <v/>
      </c>
      <c r="C21" s="9">
        <f>B21/502</f>
        <v/>
      </c>
      <c r="D21" s="9">
        <f>IF(C21=0,0,-LOG(C21,2))</f>
        <v/>
      </c>
      <c r="E21" s="9">
        <f>IF(C21=0,0,-C21*LOG(C21,2))</f>
        <v/>
      </c>
    </row>
    <row r="22">
      <c r="A22" s="7" t="n">
        <v>2</v>
      </c>
      <c r="B22" s="8">
        <f>COUNTIF(_Data_B!C:C,2)</f>
        <v/>
      </c>
      <c r="C22" s="9">
        <f>B22/502</f>
        <v/>
      </c>
      <c r="D22" s="9">
        <f>IF(C22=0,0,-LOG(C22,2))</f>
        <v/>
      </c>
      <c r="E22" s="9">
        <f>IF(C22=0,0,-C22*LOG(C22,2))</f>
        <v/>
      </c>
    </row>
    <row r="23">
      <c r="A23" s="2" t="inlineStr">
        <is>
          <t>Total</t>
        </is>
      </c>
      <c r="B23" s="3">
        <f>SUM(B20:B22)</f>
        <v/>
      </c>
      <c r="C23" s="16" t="n">
        <v>1</v>
      </c>
      <c r="D23" s="2" t="inlineStr">
        <is>
          <t>H(x5) =</t>
        </is>
      </c>
      <c r="E23" s="11">
        <f>SUM(E20:E22)</f>
        <v/>
      </c>
    </row>
    <row r="26">
      <c r="A26" s="14" t="inlineStr">
        <is>
          <t>H(x4)</t>
        </is>
      </c>
      <c r="B26" s="26" t="n"/>
      <c r="C26" s="26" t="n"/>
      <c r="D26" s="26" t="n"/>
      <c r="E26" s="26" t="n"/>
      <c r="F26" s="27" t="n"/>
    </row>
    <row r="27">
      <c r="A27" s="6" t="inlineStr">
        <is>
          <t>Valor (x)</t>
        </is>
      </c>
      <c r="B27" s="6" t="inlineStr">
        <is>
          <t>Frecuencia</t>
        </is>
      </c>
      <c r="C27" s="6" t="inlineStr">
        <is>
          <t>p(x)</t>
        </is>
      </c>
      <c r="D27" s="6" t="inlineStr">
        <is>
          <t>-log₂(p(x))</t>
        </is>
      </c>
      <c r="E27" s="6" t="inlineStr">
        <is>
          <t>-p(x)·log₂(p(x))</t>
        </is>
      </c>
    </row>
    <row r="28">
      <c r="A28" s="7" t="n">
        <v>0</v>
      </c>
      <c r="B28" s="8">
        <f>COUNTIF(_Data_B!D:D,0)</f>
        <v/>
      </c>
      <c r="C28" s="9">
        <f>B28/502</f>
        <v/>
      </c>
      <c r="D28" s="9">
        <f>IF(C28=0,0,-LOG(C28,2))</f>
        <v/>
      </c>
      <c r="E28" s="9">
        <f>IF(C28=0,0,-C28*LOG(C28,2))</f>
        <v/>
      </c>
    </row>
    <row r="29">
      <c r="A29" s="7" t="n">
        <v>1</v>
      </c>
      <c r="B29" s="8">
        <f>COUNTIF(_Data_B!D:D,1)</f>
        <v/>
      </c>
      <c r="C29" s="9">
        <f>B29/502</f>
        <v/>
      </c>
      <c r="D29" s="9">
        <f>IF(C29=0,0,-LOG(C29,2))</f>
        <v/>
      </c>
      <c r="E29" s="9">
        <f>IF(C29=0,0,-C29*LOG(C29,2))</f>
        <v/>
      </c>
    </row>
    <row r="30">
      <c r="A30" s="2" t="inlineStr">
        <is>
          <t>Total</t>
        </is>
      </c>
      <c r="B30" s="3">
        <f>SUM(B28:B29)</f>
        <v/>
      </c>
      <c r="C30" s="16" t="n">
        <v>1</v>
      </c>
      <c r="D30" s="2" t="inlineStr">
        <is>
          <t>H(x4) =</t>
        </is>
      </c>
      <c r="E30" s="11">
        <f>SUM(E28:E29)</f>
        <v/>
      </c>
    </row>
    <row r="33">
      <c r="A33" s="14" t="inlineStr">
        <is>
          <t>H(x6)</t>
        </is>
      </c>
      <c r="B33" s="26" t="n"/>
      <c r="C33" s="26" t="n"/>
      <c r="D33" s="26" t="n"/>
      <c r="E33" s="26" t="n"/>
      <c r="F33" s="27" t="n"/>
    </row>
    <row r="34">
      <c r="A34" s="6" t="inlineStr">
        <is>
          <t>Valor (x)</t>
        </is>
      </c>
      <c r="B34" s="6" t="inlineStr">
        <is>
          <t>Frecuencia</t>
        </is>
      </c>
      <c r="C34" s="6" t="inlineStr">
        <is>
          <t>p(x)</t>
        </is>
      </c>
      <c r="D34" s="6" t="inlineStr">
        <is>
          <t>-log₂(p(x))</t>
        </is>
      </c>
      <c r="E34" s="6" t="inlineStr">
        <is>
          <t>-p(x)·log₂(p(x))</t>
        </is>
      </c>
    </row>
    <row r="35">
      <c r="A35" s="7" t="n">
        <v>0</v>
      </c>
      <c r="B35" s="8">
        <f>COUNTIF(_Data_B!E:E,0)</f>
        <v/>
      </c>
      <c r="C35" s="9">
        <f>B35/502</f>
        <v/>
      </c>
      <c r="D35" s="9">
        <f>IF(C35=0,0,-LOG(C35,2))</f>
        <v/>
      </c>
      <c r="E35" s="9">
        <f>IF(C35=0,0,-C35*LOG(C35,2))</f>
        <v/>
      </c>
    </row>
    <row r="36">
      <c r="A36" s="7" t="n">
        <v>1</v>
      </c>
      <c r="B36" s="8">
        <f>COUNTIF(_Data_B!E:E,1)</f>
        <v/>
      </c>
      <c r="C36" s="9">
        <f>B36/502</f>
        <v/>
      </c>
      <c r="D36" s="9">
        <f>IF(C36=0,0,-LOG(C36,2))</f>
        <v/>
      </c>
      <c r="E36" s="9">
        <f>IF(C36=0,0,-C36*LOG(C36,2))</f>
        <v/>
      </c>
    </row>
    <row r="37">
      <c r="A37" s="2" t="inlineStr">
        <is>
          <t>Total</t>
        </is>
      </c>
      <c r="B37" s="3">
        <f>SUM(B35:B36)</f>
        <v/>
      </c>
      <c r="C37" s="16" t="n">
        <v>1</v>
      </c>
      <c r="D37" s="2" t="inlineStr">
        <is>
          <t>H(x6) =</t>
        </is>
      </c>
      <c r="E37" s="11">
        <f>SUM(E35:E36)</f>
        <v/>
      </c>
    </row>
    <row r="40">
      <c r="A40" s="14" t="inlineStr">
        <is>
          <t>H(x9)</t>
        </is>
      </c>
      <c r="B40" s="26" t="n"/>
      <c r="C40" s="26" t="n"/>
      <c r="D40" s="26" t="n"/>
      <c r="E40" s="26" t="n"/>
      <c r="F40" s="27" t="n"/>
    </row>
    <row r="41">
      <c r="A41" s="6" t="inlineStr">
        <is>
          <t>Valor (x)</t>
        </is>
      </c>
      <c r="B41" s="6" t="inlineStr">
        <is>
          <t>Frecuencia</t>
        </is>
      </c>
      <c r="C41" s="6" t="inlineStr">
        <is>
          <t>p(x)</t>
        </is>
      </c>
      <c r="D41" s="6" t="inlineStr">
        <is>
          <t>-log₂(p(x))</t>
        </is>
      </c>
      <c r="E41" s="6" t="inlineStr">
        <is>
          <t>-p(x)·log₂(p(x))</t>
        </is>
      </c>
    </row>
    <row r="42">
      <c r="A42" s="7" t="n">
        <v>0</v>
      </c>
      <c r="B42" s="8">
        <f>COUNTIF(_Data_B!F:F,0)</f>
        <v/>
      </c>
      <c r="C42" s="9">
        <f>B42/502</f>
        <v/>
      </c>
      <c r="D42" s="9">
        <f>IF(C42=0,0,-LOG(C42,2))</f>
        <v/>
      </c>
      <c r="E42" s="9">
        <f>IF(C42=0,0,-C42*LOG(C42,2))</f>
        <v/>
      </c>
    </row>
    <row r="43">
      <c r="A43" s="7" t="n">
        <v>1</v>
      </c>
      <c r="B43" s="8">
        <f>COUNTIF(_Data_B!F:F,1)</f>
        <v/>
      </c>
      <c r="C43" s="9">
        <f>B43/502</f>
        <v/>
      </c>
      <c r="D43" s="9">
        <f>IF(C43=0,0,-LOG(C43,2))</f>
        <v/>
      </c>
      <c r="E43" s="9">
        <f>IF(C43=0,0,-C43*LOG(C43,2))</f>
        <v/>
      </c>
    </row>
    <row r="44">
      <c r="A44" s="7" t="n">
        <v>2</v>
      </c>
      <c r="B44" s="8">
        <f>COUNTIF(_Data_B!F:F,2)</f>
        <v/>
      </c>
      <c r="C44" s="9">
        <f>B44/502</f>
        <v/>
      </c>
      <c r="D44" s="9">
        <f>IF(C44=0,0,-LOG(C44,2))</f>
        <v/>
      </c>
      <c r="E44" s="9">
        <f>IF(C44=0,0,-C44*LOG(C44,2))</f>
        <v/>
      </c>
    </row>
    <row r="45">
      <c r="A45" s="7" t="n">
        <v>3</v>
      </c>
      <c r="B45" s="8">
        <f>COUNTIF(_Data_B!F:F,3)</f>
        <v/>
      </c>
      <c r="C45" s="9">
        <f>B45/502</f>
        <v/>
      </c>
      <c r="D45" s="9">
        <f>IF(C45=0,0,-LOG(C45,2))</f>
        <v/>
      </c>
      <c r="E45" s="9">
        <f>IF(C45=0,0,-C45*LOG(C45,2))</f>
        <v/>
      </c>
    </row>
    <row r="46">
      <c r="A46" s="2" t="inlineStr">
        <is>
          <t>Total</t>
        </is>
      </c>
      <c r="B46" s="3">
        <f>SUM(B42:B45)</f>
        <v/>
      </c>
      <c r="C46" s="16" t="n">
        <v>1</v>
      </c>
      <c r="D46" s="2" t="inlineStr">
        <is>
          <t>H(x9) =</t>
        </is>
      </c>
      <c r="E46" s="11">
        <f>SUM(E42:E45)</f>
        <v/>
      </c>
    </row>
    <row r="49">
      <c r="A49" s="14" t="inlineStr">
        <is>
          <t>H(x3)</t>
        </is>
      </c>
      <c r="B49" s="26" t="n"/>
      <c r="C49" s="26" t="n"/>
      <c r="D49" s="26" t="n"/>
      <c r="E49" s="26" t="n"/>
      <c r="F49" s="27" t="n"/>
    </row>
    <row r="50">
      <c r="A50" s="6" t="inlineStr">
        <is>
          <t>Valor (x)</t>
        </is>
      </c>
      <c r="B50" s="6" t="inlineStr">
        <is>
          <t>Frecuencia</t>
        </is>
      </c>
      <c r="C50" s="6" t="inlineStr">
        <is>
          <t>p(x)</t>
        </is>
      </c>
      <c r="D50" s="6" t="inlineStr">
        <is>
          <t>-log₂(p(x))</t>
        </is>
      </c>
      <c r="E50" s="6" t="inlineStr">
        <is>
          <t>-p(x)·log₂(p(x))</t>
        </is>
      </c>
    </row>
    <row r="51">
      <c r="A51" s="7" t="n">
        <v>0</v>
      </c>
      <c r="B51" s="8">
        <f>COUNTIF(_Data_B!G:G,0)</f>
        <v/>
      </c>
      <c r="C51" s="9">
        <f>B51/502</f>
        <v/>
      </c>
      <c r="D51" s="9">
        <f>IF(C51=0,0,-LOG(C51,2))</f>
        <v/>
      </c>
      <c r="E51" s="9">
        <f>IF(C51=0,0,-C51*LOG(C51,2))</f>
        <v/>
      </c>
    </row>
    <row r="52">
      <c r="A52" s="7" t="n">
        <v>1</v>
      </c>
      <c r="B52" s="8">
        <f>COUNTIF(_Data_B!G:G,1)</f>
        <v/>
      </c>
      <c r="C52" s="9">
        <f>B52/502</f>
        <v/>
      </c>
      <c r="D52" s="9">
        <f>IF(C52=0,0,-LOG(C52,2))</f>
        <v/>
      </c>
      <c r="E52" s="9">
        <f>IF(C52=0,0,-C52*LOG(C52,2))</f>
        <v/>
      </c>
    </row>
    <row r="53">
      <c r="A53" s="2" t="inlineStr">
        <is>
          <t>Total</t>
        </is>
      </c>
      <c r="B53" s="3">
        <f>SUM(B51:B52)</f>
        <v/>
      </c>
      <c r="C53" s="16" t="n">
        <v>1</v>
      </c>
      <c r="D53" s="2" t="inlineStr">
        <is>
          <t>H(x3) =</t>
        </is>
      </c>
      <c r="E53" s="11">
        <f>SUM(E51:E52)</f>
        <v/>
      </c>
    </row>
  </sheetData>
  <mergeCells count="9">
    <mergeCell ref="A2:F2"/>
    <mergeCell ref="A11:F11"/>
    <mergeCell ref="A33:F33"/>
    <mergeCell ref="A49:F49"/>
    <mergeCell ref="A1:F1"/>
    <mergeCell ref="A40:F40"/>
    <mergeCell ref="A18:F18"/>
    <mergeCell ref="A4:F4"/>
    <mergeCell ref="A26:F2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2" t="inlineStr">
        <is>
          <t>Dataset B — Matriz de Información Mutua</t>
        </is>
      </c>
    </row>
    <row r="3">
      <c r="A3" s="6" t="inlineStr">
        <is>
          <t>IM(X,Y)</t>
        </is>
      </c>
      <c r="B3" s="6" t="inlineStr">
        <is>
          <t>x1</t>
        </is>
      </c>
      <c r="C3" s="6" t="inlineStr">
        <is>
          <t>x2</t>
        </is>
      </c>
      <c r="D3" s="6" t="inlineStr">
        <is>
          <t>x5</t>
        </is>
      </c>
      <c r="E3" s="6" t="inlineStr">
        <is>
          <t>x4</t>
        </is>
      </c>
      <c r="F3" s="6" t="inlineStr">
        <is>
          <t>x6</t>
        </is>
      </c>
      <c r="G3" s="6" t="inlineStr">
        <is>
          <t>x9</t>
        </is>
      </c>
      <c r="H3" s="6" t="inlineStr">
        <is>
          <t>x3</t>
        </is>
      </c>
    </row>
    <row r="4">
      <c r="A4" s="2" t="inlineStr">
        <is>
          <t>x1</t>
        </is>
      </c>
      <c r="B4" s="17" t="n">
        <v>0</v>
      </c>
      <c r="C4" s="9">
        <f>_Calc_B!J10</f>
        <v/>
      </c>
      <c r="D4" s="11">
        <f>_Calc_B!J21</f>
        <v/>
      </c>
      <c r="E4" s="9">
        <f>_Calc_B!J30</f>
        <v/>
      </c>
      <c r="F4" s="9">
        <f>_Calc_B!J39</f>
        <v/>
      </c>
      <c r="G4" s="9">
        <f>_Calc_B!J52</f>
        <v/>
      </c>
      <c r="H4" s="9">
        <f>_Calc_B!J61</f>
        <v/>
      </c>
    </row>
    <row r="5">
      <c r="A5" s="2" t="inlineStr">
        <is>
          <t>x2</t>
        </is>
      </c>
      <c r="B5" s="9">
        <f>_Calc_B!J10</f>
        <v/>
      </c>
      <c r="C5" s="17" t="n">
        <v>0</v>
      </c>
      <c r="D5" s="11">
        <f>_Calc_B!J72</f>
        <v/>
      </c>
      <c r="E5" s="9">
        <f>_Calc_B!J81</f>
        <v/>
      </c>
      <c r="F5" s="9">
        <f>_Calc_B!J90</f>
        <v/>
      </c>
      <c r="G5" s="9">
        <f>_Calc_B!J103</f>
        <v/>
      </c>
      <c r="H5" s="9">
        <f>_Calc_B!J112</f>
        <v/>
      </c>
    </row>
    <row r="6">
      <c r="A6" s="2" t="inlineStr">
        <is>
          <t>x5</t>
        </is>
      </c>
      <c r="B6" s="11">
        <f>_Calc_B!J21</f>
        <v/>
      </c>
      <c r="C6" s="11">
        <f>_Calc_B!J72</f>
        <v/>
      </c>
      <c r="D6" s="17" t="n">
        <v>0</v>
      </c>
      <c r="E6" s="9">
        <f>_Calc_B!J123</f>
        <v/>
      </c>
      <c r="F6" s="9">
        <f>_Calc_B!J134</f>
        <v/>
      </c>
      <c r="G6" s="9">
        <f>_Calc_B!J151</f>
        <v/>
      </c>
      <c r="H6" s="9">
        <f>_Calc_B!J162</f>
        <v/>
      </c>
    </row>
    <row r="7">
      <c r="A7" s="2" t="inlineStr">
        <is>
          <t>x4</t>
        </is>
      </c>
      <c r="B7" s="9">
        <f>_Calc_B!J30</f>
        <v/>
      </c>
      <c r="C7" s="9">
        <f>_Calc_B!J81</f>
        <v/>
      </c>
      <c r="D7" s="9">
        <f>_Calc_B!J123</f>
        <v/>
      </c>
      <c r="E7" s="17" t="n">
        <v>0</v>
      </c>
      <c r="F7" s="9">
        <f>_Calc_B!J171</f>
        <v/>
      </c>
      <c r="G7" s="11">
        <f>_Calc_B!J184</f>
        <v/>
      </c>
      <c r="H7" s="9">
        <f>_Calc_B!J193</f>
        <v/>
      </c>
    </row>
    <row r="8">
      <c r="A8" s="2" t="inlineStr">
        <is>
          <t>x6</t>
        </is>
      </c>
      <c r="B8" s="9">
        <f>_Calc_B!J39</f>
        <v/>
      </c>
      <c r="C8" s="9">
        <f>_Calc_B!J90</f>
        <v/>
      </c>
      <c r="D8" s="9">
        <f>_Calc_B!J134</f>
        <v/>
      </c>
      <c r="E8" s="9">
        <f>_Calc_B!J171</f>
        <v/>
      </c>
      <c r="F8" s="17" t="n">
        <v>0</v>
      </c>
      <c r="G8" s="11">
        <f>_Calc_B!J206</f>
        <v/>
      </c>
      <c r="H8" s="9">
        <f>_Calc_B!J215</f>
        <v/>
      </c>
    </row>
    <row r="9">
      <c r="A9" s="2" t="inlineStr">
        <is>
          <t>x9</t>
        </is>
      </c>
      <c r="B9" s="9">
        <f>_Calc_B!J52</f>
        <v/>
      </c>
      <c r="C9" s="9">
        <f>_Calc_B!J103</f>
        <v/>
      </c>
      <c r="D9" s="9">
        <f>_Calc_B!J151</f>
        <v/>
      </c>
      <c r="E9" s="11">
        <f>_Calc_B!J184</f>
        <v/>
      </c>
      <c r="F9" s="11">
        <f>_Calc_B!J206</f>
        <v/>
      </c>
      <c r="G9" s="17" t="n">
        <v>0</v>
      </c>
      <c r="H9" s="9">
        <f>_Calc_B!J228</f>
        <v/>
      </c>
    </row>
    <row r="10">
      <c r="A10" s="2" t="inlineStr">
        <is>
          <t>x3</t>
        </is>
      </c>
      <c r="B10" s="9">
        <f>_Calc_B!J61</f>
        <v/>
      </c>
      <c r="C10" s="9">
        <f>_Calc_B!J112</f>
        <v/>
      </c>
      <c r="D10" s="9">
        <f>_Calc_B!J162</f>
        <v/>
      </c>
      <c r="E10" s="9">
        <f>_Calc_B!J193</f>
        <v/>
      </c>
      <c r="F10" s="9">
        <f>_Calc_B!J215</f>
        <v/>
      </c>
      <c r="G10" s="9">
        <f>_Calc_B!J228</f>
        <v/>
      </c>
      <c r="H10" s="17" t="n">
        <v>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22" customWidth="1" min="3" max="3"/>
    <col width="11" customWidth="1" min="4" max="4"/>
    <col width="22" customWidth="1" min="5" max="5"/>
    <col width="22" customWidth="1" min="6" max="6"/>
    <col width="22" customWidth="1" min="7" max="7"/>
    <col width="22" customWidth="1" min="8" max="8"/>
    <col width="16" customWidth="1" min="9" max="9"/>
  </cols>
  <sheetData>
    <row r="1">
      <c r="A1" s="12" t="inlineStr">
        <is>
          <t>Dataset B — Cálculo Detallado IM(x1,x5)</t>
        </is>
      </c>
    </row>
    <row r="3">
      <c r="A3" s="13" t="inlineStr">
        <is>
          <t>Tabla de Probabilidades Conjuntas</t>
        </is>
      </c>
    </row>
    <row r="5">
      <c r="A5" s="6" t="inlineStr">
        <is>
          <t>x1</t>
        </is>
      </c>
      <c r="B5" s="6" t="inlineStr">
        <is>
          <t>x5</t>
        </is>
      </c>
      <c r="C5" s="6" t="inlineStr">
        <is>
          <t>Frecuencia</t>
        </is>
      </c>
      <c r="D5" s="6" t="inlineStr">
        <is>
          <t>p(x1,x5)</t>
        </is>
      </c>
      <c r="E5" s="6" t="inlineStr">
        <is>
          <t>p(x1)</t>
        </is>
      </c>
      <c r="F5" s="6" t="inlineStr">
        <is>
          <t>p(x5)</t>
        </is>
      </c>
      <c r="G5" s="6" t="inlineStr">
        <is>
          <t>p/(px·py)</t>
        </is>
      </c>
      <c r="H5" s="6" t="inlineStr">
        <is>
          <t>log₂(ratio)</t>
        </is>
      </c>
      <c r="I5" s="6" t="inlineStr">
        <is>
          <t>p·log₂(ratio)</t>
        </is>
      </c>
    </row>
    <row r="6">
      <c r="A6" s="7" t="n">
        <v>0</v>
      </c>
      <c r="B6" s="7" t="n">
        <v>0</v>
      </c>
      <c r="C6" s="8">
        <f>COUNTIFS(_Data_B!A:A,0,_Data_B!C:C,0)</f>
        <v/>
      </c>
      <c r="D6" s="9">
        <f>C6/502</f>
        <v/>
      </c>
      <c r="E6" s="9">
        <f>IF(D6=0,0,COUNTIF(_Data_B!A:A,0)/502)</f>
        <v/>
      </c>
      <c r="F6" s="9">
        <f>IF(D6=0,0,COUNTIF(_Data_B!C:C,0)/502)</f>
        <v/>
      </c>
      <c r="G6" s="9">
        <f>IF(D6=0,0,D6/(E6*F6))</f>
        <v/>
      </c>
      <c r="H6" s="9">
        <f>IF(G6&lt;=0,0,LOG(G6,2))</f>
        <v/>
      </c>
      <c r="I6" s="9">
        <f>D6*H6</f>
        <v/>
      </c>
    </row>
    <row r="7">
      <c r="A7" s="7" t="n">
        <v>0</v>
      </c>
      <c r="B7" s="7" t="n">
        <v>1</v>
      </c>
      <c r="C7" s="8">
        <f>COUNTIFS(_Data_B!A:A,0,_Data_B!C:C,1)</f>
        <v/>
      </c>
      <c r="D7" s="9">
        <f>C7/502</f>
        <v/>
      </c>
      <c r="E7" s="9">
        <f>IF(D7=0,0,COUNTIF(_Data_B!A:A,0)/502)</f>
        <v/>
      </c>
      <c r="F7" s="9">
        <f>IF(D7=0,0,COUNTIF(_Data_B!C:C,1)/502)</f>
        <v/>
      </c>
      <c r="G7" s="9">
        <f>IF(D7=0,0,D7/(E7*F7))</f>
        <v/>
      </c>
      <c r="H7" s="9">
        <f>IF(G7&lt;=0,0,LOG(G7,2))</f>
        <v/>
      </c>
      <c r="I7" s="9">
        <f>D7*H7</f>
        <v/>
      </c>
    </row>
    <row r="8">
      <c r="A8" s="7" t="n">
        <v>0</v>
      </c>
      <c r="B8" s="7" t="n">
        <v>2</v>
      </c>
      <c r="C8" s="8">
        <f>COUNTIFS(_Data_B!A:A,0,_Data_B!C:C,2)</f>
        <v/>
      </c>
      <c r="D8" s="9">
        <f>C8/502</f>
        <v/>
      </c>
      <c r="E8" s="9">
        <f>IF(D8=0,0,COUNTIF(_Data_B!A:A,0)/502)</f>
        <v/>
      </c>
      <c r="F8" s="9">
        <f>IF(D8=0,0,COUNTIF(_Data_B!C:C,2)/502)</f>
        <v/>
      </c>
      <c r="G8" s="9">
        <f>IF(D8=0,0,D8/(E8*F8))</f>
        <v/>
      </c>
      <c r="H8" s="9">
        <f>IF(G8&lt;=0,0,LOG(G8,2))</f>
        <v/>
      </c>
      <c r="I8" s="9">
        <f>D8*H8</f>
        <v/>
      </c>
    </row>
    <row r="9">
      <c r="A9" s="7" t="n">
        <v>1</v>
      </c>
      <c r="B9" s="7" t="n">
        <v>0</v>
      </c>
      <c r="C9" s="8">
        <f>COUNTIFS(_Data_B!A:A,1,_Data_B!C:C,0)</f>
        <v/>
      </c>
      <c r="D9" s="9">
        <f>C9/502</f>
        <v/>
      </c>
      <c r="E9" s="9">
        <f>IF(D9=0,0,COUNTIF(_Data_B!A:A,1)/502)</f>
        <v/>
      </c>
      <c r="F9" s="9">
        <f>IF(D9=0,0,COUNTIF(_Data_B!C:C,0)/502)</f>
        <v/>
      </c>
      <c r="G9" s="9">
        <f>IF(D9=0,0,D9/(E9*F9))</f>
        <v/>
      </c>
      <c r="H9" s="9">
        <f>IF(G9&lt;=0,0,LOG(G9,2))</f>
        <v/>
      </c>
      <c r="I9" s="9">
        <f>D9*H9</f>
        <v/>
      </c>
    </row>
    <row r="10">
      <c r="A10" s="7" t="n">
        <v>1</v>
      </c>
      <c r="B10" s="7" t="n">
        <v>1</v>
      </c>
      <c r="C10" s="8">
        <f>COUNTIFS(_Data_B!A:A,1,_Data_B!C:C,1)</f>
        <v/>
      </c>
      <c r="D10" s="9">
        <f>C10/502</f>
        <v/>
      </c>
      <c r="E10" s="9">
        <f>IF(D10=0,0,COUNTIF(_Data_B!A:A,1)/502)</f>
        <v/>
      </c>
      <c r="F10" s="9">
        <f>IF(D10=0,0,COUNTIF(_Data_B!C:C,1)/502)</f>
        <v/>
      </c>
      <c r="G10" s="9">
        <f>IF(D10=0,0,D10/(E10*F10))</f>
        <v/>
      </c>
      <c r="H10" s="9">
        <f>IF(G10&lt;=0,0,LOG(G10,2))</f>
        <v/>
      </c>
      <c r="I10" s="9">
        <f>D10*H10</f>
        <v/>
      </c>
    </row>
    <row r="11">
      <c r="A11" s="7" t="n">
        <v>1</v>
      </c>
      <c r="B11" s="7" t="n">
        <v>2</v>
      </c>
      <c r="C11" s="8">
        <f>COUNTIFS(_Data_B!A:A,1,_Data_B!C:C,2)</f>
        <v/>
      </c>
      <c r="D11" s="9">
        <f>C11/502</f>
        <v/>
      </c>
      <c r="E11" s="9">
        <f>IF(D11=0,0,COUNTIF(_Data_B!A:A,1)/502)</f>
        <v/>
      </c>
      <c r="F11" s="9">
        <f>IF(D11=0,0,COUNTIF(_Data_B!C:C,2)/502)</f>
        <v/>
      </c>
      <c r="G11" s="9">
        <f>IF(D11=0,0,D11/(E11*F11))</f>
        <v/>
      </c>
      <c r="H11" s="9">
        <f>IF(G11&lt;=0,0,LOG(G11,2))</f>
        <v/>
      </c>
      <c r="I11" s="9">
        <f>D11*H11</f>
        <v/>
      </c>
    </row>
    <row r="12">
      <c r="E12" s="2" t="inlineStr">
        <is>
          <t>IM(x1,x5) = Σ</t>
        </is>
      </c>
      <c r="F12" s="26" t="n"/>
      <c r="G12" s="26" t="n"/>
      <c r="H12" s="27" t="n"/>
      <c r="I12" s="11">
        <f>SUM(I6:I11)</f>
        <v/>
      </c>
    </row>
  </sheetData>
  <mergeCells count="3">
    <mergeCell ref="A1:I1"/>
    <mergeCell ref="E12:H12"/>
    <mergeCell ref="A3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21" customWidth="1" min="3" max="3"/>
    <col width="36" customWidth="1" min="4" max="4"/>
    <col width="36" customWidth="1" min="5" max="5"/>
    <col hidden="1" width="36" customWidth="1" min="6" max="6"/>
    <col hidden="1" width="36" customWidth="1" min="7" max="7"/>
    <col hidden="1" width="36" customWidth="1" min="8" max="8"/>
    <col hidden="1" width="36" customWidth="1" min="9" max="9"/>
    <col hidden="1" width="36" customWidth="1" min="10" max="10"/>
    <col hidden="1" width="36" customWidth="1" min="11" max="11"/>
    <col hidden="1" width="36" customWidth="1" min="12" max="12"/>
    <col hidden="1" width="10" customWidth="1" min="13" max="13"/>
    <col hidden="1" width="10" customWidth="1" min="14" max="14"/>
    <col hidden="1" width="34" customWidth="1" min="15" max="15"/>
  </cols>
  <sheetData>
    <row r="1">
      <c r="A1" s="12" t="inlineStr">
        <is>
          <t>Dataset B — Algoritmo de Kruskal (MST)</t>
        </is>
      </c>
    </row>
    <row r="2">
      <c r="F2" s="2" t="inlineStr">
        <is>
          <t>comp(x1)</t>
        </is>
      </c>
      <c r="G2" s="2" t="inlineStr">
        <is>
          <t>comp(x2)</t>
        </is>
      </c>
      <c r="H2" s="2" t="inlineStr">
        <is>
          <t>comp(x5)</t>
        </is>
      </c>
      <c r="I2" s="2" t="inlineStr">
        <is>
          <t>comp(x4)</t>
        </is>
      </c>
      <c r="J2" s="2" t="inlineStr">
        <is>
          <t>comp(x6)</t>
        </is>
      </c>
      <c r="K2" s="2" t="inlineStr">
        <is>
          <t>comp(x9)</t>
        </is>
      </c>
      <c r="L2" s="2" t="inlineStr">
        <is>
          <t>comp(x3)</t>
        </is>
      </c>
    </row>
    <row r="3">
      <c r="A3" s="6" t="inlineStr">
        <is>
          <t>#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Decisión</t>
        </is>
      </c>
      <c r="E3" s="6" t="inlineStr">
        <is>
          <t>Justificación</t>
        </is>
      </c>
      <c r="F3" s="2" t="inlineStr">
        <is>
          <t>x1</t>
        </is>
      </c>
      <c r="G3" s="2" t="inlineStr">
        <is>
          <t>x2</t>
        </is>
      </c>
      <c r="H3" s="2" t="inlineStr">
        <is>
          <t>x5</t>
        </is>
      </c>
      <c r="I3" s="2" t="inlineStr">
        <is>
          <t>x4</t>
        </is>
      </c>
      <c r="J3" s="2" t="inlineStr">
        <is>
          <t>x6</t>
        </is>
      </c>
      <c r="K3" s="2" t="inlineStr">
        <is>
          <t>x9</t>
        </is>
      </c>
      <c r="L3" s="2" t="inlineStr">
        <is>
          <t>x3</t>
        </is>
      </c>
      <c r="M3" s="2" t="inlineStr">
        <is>
          <t>comp(u)</t>
        </is>
      </c>
      <c r="N3" s="2" t="inlineStr">
        <is>
          <t>comp(v)</t>
        </is>
      </c>
      <c r="O3" s="2" t="inlineStr">
        <is>
          <t>Acum</t>
        </is>
      </c>
    </row>
    <row r="4">
      <c r="A4" s="18" t="n">
        <v>1</v>
      </c>
      <c r="B4" s="18" t="inlineStr">
        <is>
          <t>x6 — x9</t>
        </is>
      </c>
      <c r="C4" s="19">
        <f>'B-Matriz MI'!G9</f>
        <v/>
      </c>
      <c r="D4" s="20">
        <f>IF(M4=N4,"Rechazado","Aceptado")</f>
        <v/>
      </c>
      <c r="E4" s="18">
        <f>IF(D4="Aceptado","","Ciclo: x6 y x9 ya conectados")</f>
        <v/>
      </c>
      <c r="F4" s="21" t="n">
        <v>1</v>
      </c>
      <c r="G4" s="21" t="n">
        <v>2</v>
      </c>
      <c r="H4" s="21" t="n">
        <v>3</v>
      </c>
      <c r="I4" s="21" t="n">
        <v>4</v>
      </c>
      <c r="J4" s="21" t="n">
        <v>5</v>
      </c>
      <c r="K4" s="21" t="n">
        <v>6</v>
      </c>
      <c r="L4" s="21" t="n">
        <v>7</v>
      </c>
      <c r="M4" s="8">
        <f>J4</f>
        <v/>
      </c>
      <c r="N4" s="8">
        <f>K4</f>
        <v/>
      </c>
      <c r="O4" s="9">
        <f>IF(D4="Aceptado",C4,0)</f>
        <v/>
      </c>
    </row>
    <row r="5">
      <c r="A5" s="18" t="n">
        <v>2</v>
      </c>
      <c r="B5" s="18" t="inlineStr">
        <is>
          <t>x4 — x9</t>
        </is>
      </c>
      <c r="C5" s="19">
        <f>'B-Matriz MI'!G8</f>
        <v/>
      </c>
      <c r="D5" s="20">
        <f>IF(M5=N5,"Rechazado","Aceptado")</f>
        <v/>
      </c>
      <c r="E5" s="18">
        <f>IF(D5="Aceptado","","Ciclo: x4 y x9 ya conectados")</f>
        <v/>
      </c>
      <c r="F5" s="21">
        <f>IF(D4="Aceptado",IF(F4=N4,M4,F4),F4)</f>
        <v/>
      </c>
      <c r="G5" s="21">
        <f>IF(D4="Aceptado",IF(G4=N4,M4,G4),G4)</f>
        <v/>
      </c>
      <c r="H5" s="21">
        <f>IF(D4="Aceptado",IF(H4=N4,M4,H4),H4)</f>
        <v/>
      </c>
      <c r="I5" s="21">
        <f>IF(D4="Aceptado",IF(I4=N4,M4,I4),I4)</f>
        <v/>
      </c>
      <c r="J5" s="21">
        <f>IF(D4="Aceptado",IF(J4=N4,M4,J4),J4)</f>
        <v/>
      </c>
      <c r="K5" s="21">
        <f>IF(D4="Aceptado",IF(K4=N4,M4,K4),K4)</f>
        <v/>
      </c>
      <c r="L5" s="21">
        <f>IF(D4="Aceptado",IF(L4=N4,M4,L4),L4)</f>
        <v/>
      </c>
      <c r="M5" s="8">
        <f>I5</f>
        <v/>
      </c>
      <c r="N5" s="8">
        <f>K5</f>
        <v/>
      </c>
      <c r="O5" s="9">
        <f>IF(D5="Aceptado",O4+C5,O4)</f>
        <v/>
      </c>
    </row>
    <row r="6">
      <c r="A6" s="18" t="n">
        <v>3</v>
      </c>
      <c r="B6" s="18" t="inlineStr">
        <is>
          <t>x2 — x5</t>
        </is>
      </c>
      <c r="C6" s="19">
        <f>'B-Matriz MI'!D6</f>
        <v/>
      </c>
      <c r="D6" s="20">
        <f>IF(M6=N6,"Rechazado","Aceptado")</f>
        <v/>
      </c>
      <c r="E6" s="18">
        <f>IF(D6="Aceptado","","Ciclo: x2 y x5 ya conectados")</f>
        <v/>
      </c>
      <c r="F6" s="21">
        <f>IF(D5="Aceptado",IF(F5=N5,M5,F5),F5)</f>
        <v/>
      </c>
      <c r="G6" s="21">
        <f>IF(D5="Aceptado",IF(G5=N5,M5,G5),G5)</f>
        <v/>
      </c>
      <c r="H6" s="21">
        <f>IF(D5="Aceptado",IF(H5=N5,M5,H5),H5)</f>
        <v/>
      </c>
      <c r="I6" s="21">
        <f>IF(D5="Aceptado",IF(I5=N5,M5,I5),I5)</f>
        <v/>
      </c>
      <c r="J6" s="21">
        <f>IF(D5="Aceptado",IF(J5=N5,M5,J5),J5)</f>
        <v/>
      </c>
      <c r="K6" s="21">
        <f>IF(D5="Aceptado",IF(K5=N5,M5,K5),K5)</f>
        <v/>
      </c>
      <c r="L6" s="21">
        <f>IF(D5="Aceptado",IF(L5=N5,M5,L5),L5)</f>
        <v/>
      </c>
      <c r="M6" s="8">
        <f>G6</f>
        <v/>
      </c>
      <c r="N6" s="8">
        <f>H6</f>
        <v/>
      </c>
      <c r="O6" s="9">
        <f>IF(D6="Aceptado",O5+C6,O5)</f>
        <v/>
      </c>
    </row>
    <row r="7">
      <c r="A7" s="18" t="n">
        <v>4</v>
      </c>
      <c r="B7" s="18" t="inlineStr">
        <is>
          <t>x1 — x5</t>
        </is>
      </c>
      <c r="C7" s="19">
        <f>'B-Matriz MI'!D5</f>
        <v/>
      </c>
      <c r="D7" s="20">
        <f>IF(M7=N7,"Rechazado","Aceptado")</f>
        <v/>
      </c>
      <c r="E7" s="18">
        <f>IF(D7="Aceptado","","Ciclo: x1 y x5 ya conectados")</f>
        <v/>
      </c>
      <c r="F7" s="21">
        <f>IF(D6="Aceptado",IF(F6=N6,M6,F6),F6)</f>
        <v/>
      </c>
      <c r="G7" s="21">
        <f>IF(D6="Aceptado",IF(G6=N6,M6,G6),G6)</f>
        <v/>
      </c>
      <c r="H7" s="21">
        <f>IF(D6="Aceptado",IF(H6=N6,M6,H6),H6)</f>
        <v/>
      </c>
      <c r="I7" s="21">
        <f>IF(D6="Aceptado",IF(I6=N6,M6,I6),I6)</f>
        <v/>
      </c>
      <c r="J7" s="21">
        <f>IF(D6="Aceptado",IF(J6=N6,M6,J6),J6)</f>
        <v/>
      </c>
      <c r="K7" s="21">
        <f>IF(D6="Aceptado",IF(K6=N6,M6,K6),K6)</f>
        <v/>
      </c>
      <c r="L7" s="21">
        <f>IF(D6="Aceptado",IF(L6=N6,M6,L6),L6)</f>
        <v/>
      </c>
      <c r="M7" s="8">
        <f>F7</f>
        <v/>
      </c>
      <c r="N7" s="8">
        <f>H7</f>
        <v/>
      </c>
      <c r="O7" s="9">
        <f>IF(D7="Aceptado",O6+C7,O6)</f>
        <v/>
      </c>
    </row>
    <row r="8">
      <c r="A8" s="18" t="n">
        <v>5</v>
      </c>
      <c r="B8" s="18" t="inlineStr">
        <is>
          <t>x5 — x9</t>
        </is>
      </c>
      <c r="C8" s="19">
        <f>'B-Matriz MI'!G7</f>
        <v/>
      </c>
      <c r="D8" s="20">
        <f>IF(M8=N8,"Rechazado","Aceptado")</f>
        <v/>
      </c>
      <c r="E8" s="18">
        <f>IF(D8="Aceptado","","Ciclo: x5 y x9 ya conectados")</f>
        <v/>
      </c>
      <c r="F8" s="21">
        <f>IF(D7="Aceptado",IF(F7=N7,M7,F7),F7)</f>
        <v/>
      </c>
      <c r="G8" s="21">
        <f>IF(D7="Aceptado",IF(G7=N7,M7,G7),G7)</f>
        <v/>
      </c>
      <c r="H8" s="21">
        <f>IF(D7="Aceptado",IF(H7=N7,M7,H7),H7)</f>
        <v/>
      </c>
      <c r="I8" s="21">
        <f>IF(D7="Aceptado",IF(I7=N7,M7,I7),I7)</f>
        <v/>
      </c>
      <c r="J8" s="21">
        <f>IF(D7="Aceptado",IF(J7=N7,M7,J7),J7)</f>
        <v/>
      </c>
      <c r="K8" s="21">
        <f>IF(D7="Aceptado",IF(K7=N7,M7,K7),K7)</f>
        <v/>
      </c>
      <c r="L8" s="21">
        <f>IF(D7="Aceptado",IF(L7=N7,M7,L7),L7)</f>
        <v/>
      </c>
      <c r="M8" s="8">
        <f>H8</f>
        <v/>
      </c>
      <c r="N8" s="8">
        <f>K8</f>
        <v/>
      </c>
      <c r="O8" s="9">
        <f>IF(D8="Aceptado",O7+C8,O7)</f>
        <v/>
      </c>
    </row>
    <row r="9">
      <c r="A9" s="22" t="n">
        <v>6</v>
      </c>
      <c r="B9" s="22" t="inlineStr">
        <is>
          <t>x5 — x6</t>
        </is>
      </c>
      <c r="C9" s="23">
        <f>'B-Matriz MI'!F7</f>
        <v/>
      </c>
      <c r="D9" s="24">
        <f>IF(M9=N9,"Rechazado","Aceptado")</f>
        <v/>
      </c>
      <c r="E9" s="22">
        <f>IF(D9="Aceptado","","Ciclo: x5 y x6 ya conectados")</f>
        <v/>
      </c>
      <c r="F9" s="21">
        <f>IF(D8="Aceptado",IF(F8=N8,M8,F8),F8)</f>
        <v/>
      </c>
      <c r="G9" s="21">
        <f>IF(D8="Aceptado",IF(G8=N8,M8,G8),G8)</f>
        <v/>
      </c>
      <c r="H9" s="21">
        <f>IF(D8="Aceptado",IF(H8=N8,M8,H8),H8)</f>
        <v/>
      </c>
      <c r="I9" s="21">
        <f>IF(D8="Aceptado",IF(I8=N8,M8,I8),I8)</f>
        <v/>
      </c>
      <c r="J9" s="21">
        <f>IF(D8="Aceptado",IF(J8=N8,M8,J8),J8)</f>
        <v/>
      </c>
      <c r="K9" s="21">
        <f>IF(D8="Aceptado",IF(K8=N8,M8,K8),K8)</f>
        <v/>
      </c>
      <c r="L9" s="21">
        <f>IF(D8="Aceptado",IF(L8=N8,M8,L8),L8)</f>
        <v/>
      </c>
      <c r="M9" s="8">
        <f>H9</f>
        <v/>
      </c>
      <c r="N9" s="8">
        <f>J9</f>
        <v/>
      </c>
      <c r="O9" s="9">
        <f>IF(D9="Aceptado",O8+C9,O8)</f>
        <v/>
      </c>
    </row>
    <row r="10">
      <c r="A10" s="22" t="n">
        <v>7</v>
      </c>
      <c r="B10" s="22" t="inlineStr">
        <is>
          <t>x1 — x9</t>
        </is>
      </c>
      <c r="C10" s="23">
        <f>'B-Matriz MI'!G5</f>
        <v/>
      </c>
      <c r="D10" s="24">
        <f>IF(M10=N10,"Rechazado","Aceptado")</f>
        <v/>
      </c>
      <c r="E10" s="22">
        <f>IF(D10="Aceptado","","Ciclo: x1 y x9 ya conectados")</f>
        <v/>
      </c>
      <c r="F10" s="21">
        <f>IF(D9="Aceptado",IF(F9=N9,M9,F9),F9)</f>
        <v/>
      </c>
      <c r="G10" s="21">
        <f>IF(D9="Aceptado",IF(G9=N9,M9,G9),G9)</f>
        <v/>
      </c>
      <c r="H10" s="21">
        <f>IF(D9="Aceptado",IF(H9=N9,M9,H9),H9)</f>
        <v/>
      </c>
      <c r="I10" s="21">
        <f>IF(D9="Aceptado",IF(I9=N9,M9,I9),I9)</f>
        <v/>
      </c>
      <c r="J10" s="21">
        <f>IF(D9="Aceptado",IF(J9=N9,M9,J9),J9)</f>
        <v/>
      </c>
      <c r="K10" s="21">
        <f>IF(D9="Aceptado",IF(K9=N9,M9,K9),K9)</f>
        <v/>
      </c>
      <c r="L10" s="21">
        <f>IF(D9="Aceptado",IF(L9=N9,M9,L9),L9)</f>
        <v/>
      </c>
      <c r="M10" s="8">
        <f>F10</f>
        <v/>
      </c>
      <c r="N10" s="8">
        <f>K10</f>
        <v/>
      </c>
      <c r="O10" s="9">
        <f>IF(D10="Aceptado",O9+C10,O9)</f>
        <v/>
      </c>
    </row>
    <row r="11">
      <c r="A11" s="22" t="n">
        <v>8</v>
      </c>
      <c r="B11" s="22" t="inlineStr">
        <is>
          <t>x1 — x6</t>
        </is>
      </c>
      <c r="C11" s="23">
        <f>'B-Matriz MI'!F5</f>
        <v/>
      </c>
      <c r="D11" s="24">
        <f>IF(M11=N11,"Rechazado","Aceptado")</f>
        <v/>
      </c>
      <c r="E11" s="22">
        <f>IF(D11="Aceptado","","Ciclo: x1 y x6 ya conectados")</f>
        <v/>
      </c>
      <c r="F11" s="21">
        <f>IF(D10="Aceptado",IF(F10=N10,M10,F10),F10)</f>
        <v/>
      </c>
      <c r="G11" s="21">
        <f>IF(D10="Aceptado",IF(G10=N10,M10,G10),G10)</f>
        <v/>
      </c>
      <c r="H11" s="21">
        <f>IF(D10="Aceptado",IF(H10=N10,M10,H10),H10)</f>
        <v/>
      </c>
      <c r="I11" s="21">
        <f>IF(D10="Aceptado",IF(I10=N10,M10,I10),I10)</f>
        <v/>
      </c>
      <c r="J11" s="21">
        <f>IF(D10="Aceptado",IF(J10=N10,M10,J10),J10)</f>
        <v/>
      </c>
      <c r="K11" s="21">
        <f>IF(D10="Aceptado",IF(K10=N10,M10,K10),K10)</f>
        <v/>
      </c>
      <c r="L11" s="21">
        <f>IF(D10="Aceptado",IF(L10=N10,M10,L10),L10)</f>
        <v/>
      </c>
      <c r="M11" s="8">
        <f>F11</f>
        <v/>
      </c>
      <c r="N11" s="8">
        <f>J11</f>
        <v/>
      </c>
      <c r="O11" s="9">
        <f>IF(D11="Aceptado",O10+C11,O10)</f>
        <v/>
      </c>
    </row>
    <row r="12">
      <c r="A12" s="22" t="n">
        <v>9</v>
      </c>
      <c r="B12" s="22" t="inlineStr">
        <is>
          <t>x5 — x4</t>
        </is>
      </c>
      <c r="C12" s="23">
        <f>'B-Matriz MI'!E7</f>
        <v/>
      </c>
      <c r="D12" s="24">
        <f>IF(M12=N12,"Rechazado","Aceptado")</f>
        <v/>
      </c>
      <c r="E12" s="22">
        <f>IF(D12="Aceptado","","Ciclo: x5 y x4 ya conectados")</f>
        <v/>
      </c>
      <c r="F12" s="21">
        <f>IF(D11="Aceptado",IF(F11=N11,M11,F11),F11)</f>
        <v/>
      </c>
      <c r="G12" s="21">
        <f>IF(D11="Aceptado",IF(G11=N11,M11,G11),G11)</f>
        <v/>
      </c>
      <c r="H12" s="21">
        <f>IF(D11="Aceptado",IF(H11=N11,M11,H11),H11)</f>
        <v/>
      </c>
      <c r="I12" s="21">
        <f>IF(D11="Aceptado",IF(I11=N11,M11,I11),I11)</f>
        <v/>
      </c>
      <c r="J12" s="21">
        <f>IF(D11="Aceptado",IF(J11=N11,M11,J11),J11)</f>
        <v/>
      </c>
      <c r="K12" s="21">
        <f>IF(D11="Aceptado",IF(K11=N11,M11,K11),K11)</f>
        <v/>
      </c>
      <c r="L12" s="21">
        <f>IF(D11="Aceptado",IF(L11=N11,M11,L11),L11)</f>
        <v/>
      </c>
      <c r="M12" s="8">
        <f>H12</f>
        <v/>
      </c>
      <c r="N12" s="8">
        <f>I12</f>
        <v/>
      </c>
      <c r="O12" s="9">
        <f>IF(D12="Aceptado",O11+C12,O11)</f>
        <v/>
      </c>
    </row>
    <row r="13">
      <c r="A13" s="22" t="n">
        <v>10</v>
      </c>
      <c r="B13" s="22" t="inlineStr">
        <is>
          <t>x2 — x9</t>
        </is>
      </c>
      <c r="C13" s="23">
        <f>'B-Matriz MI'!G6</f>
        <v/>
      </c>
      <c r="D13" s="24">
        <f>IF(M13=N13,"Rechazado","Aceptado")</f>
        <v/>
      </c>
      <c r="E13" s="22">
        <f>IF(D13="Aceptado","","Ciclo: x2 y x9 ya conectados")</f>
        <v/>
      </c>
      <c r="F13" s="21">
        <f>IF(D12="Aceptado",IF(F12=N12,M12,F12),F12)</f>
        <v/>
      </c>
      <c r="G13" s="21">
        <f>IF(D12="Aceptado",IF(G12=N12,M12,G12),G12)</f>
        <v/>
      </c>
      <c r="H13" s="21">
        <f>IF(D12="Aceptado",IF(H12=N12,M12,H12),H12)</f>
        <v/>
      </c>
      <c r="I13" s="21">
        <f>IF(D12="Aceptado",IF(I12=N12,M12,I12),I12)</f>
        <v/>
      </c>
      <c r="J13" s="21">
        <f>IF(D12="Aceptado",IF(J12=N12,M12,J12),J12)</f>
        <v/>
      </c>
      <c r="K13" s="21">
        <f>IF(D12="Aceptado",IF(K12=N12,M12,K12),K12)</f>
        <v/>
      </c>
      <c r="L13" s="21">
        <f>IF(D12="Aceptado",IF(L12=N12,M12,L12),L12)</f>
        <v/>
      </c>
      <c r="M13" s="8">
        <f>G13</f>
        <v/>
      </c>
      <c r="N13" s="8">
        <f>K13</f>
        <v/>
      </c>
      <c r="O13" s="9">
        <f>IF(D13="Aceptado",O12+C13,O12)</f>
        <v/>
      </c>
    </row>
    <row r="14">
      <c r="A14" s="22" t="n">
        <v>11</v>
      </c>
      <c r="B14" s="22" t="inlineStr">
        <is>
          <t>x2 — x6</t>
        </is>
      </c>
      <c r="C14" s="23">
        <f>'B-Matriz MI'!F6</f>
        <v/>
      </c>
      <c r="D14" s="24">
        <f>IF(M14=N14,"Rechazado","Aceptado")</f>
        <v/>
      </c>
      <c r="E14" s="22">
        <f>IF(D14="Aceptado","","Ciclo: x2 y x6 ya conectados")</f>
        <v/>
      </c>
      <c r="F14" s="21">
        <f>IF(D13="Aceptado",IF(F13=N13,M13,F13),F13)</f>
        <v/>
      </c>
      <c r="G14" s="21">
        <f>IF(D13="Aceptado",IF(G13=N13,M13,G13),G13)</f>
        <v/>
      </c>
      <c r="H14" s="21">
        <f>IF(D13="Aceptado",IF(H13=N13,M13,H13),H13)</f>
        <v/>
      </c>
      <c r="I14" s="21">
        <f>IF(D13="Aceptado",IF(I13=N13,M13,I13),I13)</f>
        <v/>
      </c>
      <c r="J14" s="21">
        <f>IF(D13="Aceptado",IF(J13=N13,M13,J13),J13)</f>
        <v/>
      </c>
      <c r="K14" s="21">
        <f>IF(D13="Aceptado",IF(K13=N13,M13,K13),K13)</f>
        <v/>
      </c>
      <c r="L14" s="21">
        <f>IF(D13="Aceptado",IF(L13=N13,M13,L13),L13)</f>
        <v/>
      </c>
      <c r="M14" s="8">
        <f>G14</f>
        <v/>
      </c>
      <c r="N14" s="8">
        <f>J14</f>
        <v/>
      </c>
      <c r="O14" s="9">
        <f>IF(D14="Aceptado",O13+C14,O13)</f>
        <v/>
      </c>
    </row>
    <row r="15">
      <c r="A15" s="22" t="n">
        <v>12</v>
      </c>
      <c r="B15" s="22" t="inlineStr">
        <is>
          <t>x1 — x2</t>
        </is>
      </c>
      <c r="C15" s="23">
        <f>'B-Matriz MI'!C5</f>
        <v/>
      </c>
      <c r="D15" s="24">
        <f>IF(M15=N15,"Rechazado","Aceptado")</f>
        <v/>
      </c>
      <c r="E15" s="22">
        <f>IF(D15="Aceptado","","Ciclo: x1 y x2 ya conectados")</f>
        <v/>
      </c>
      <c r="F15" s="21">
        <f>IF(D14="Aceptado",IF(F14=N14,M14,F14),F14)</f>
        <v/>
      </c>
      <c r="G15" s="21">
        <f>IF(D14="Aceptado",IF(G14=N14,M14,G14),G14)</f>
        <v/>
      </c>
      <c r="H15" s="21">
        <f>IF(D14="Aceptado",IF(H14=N14,M14,H14),H14)</f>
        <v/>
      </c>
      <c r="I15" s="21">
        <f>IF(D14="Aceptado",IF(I14=N14,M14,I14),I14)</f>
        <v/>
      </c>
      <c r="J15" s="21">
        <f>IF(D14="Aceptado",IF(J14=N14,M14,J14),J14)</f>
        <v/>
      </c>
      <c r="K15" s="21">
        <f>IF(D14="Aceptado",IF(K14=N14,M14,K14),K14)</f>
        <v/>
      </c>
      <c r="L15" s="21">
        <f>IF(D14="Aceptado",IF(L14=N14,M14,L14),L14)</f>
        <v/>
      </c>
      <c r="M15" s="8">
        <f>F15</f>
        <v/>
      </c>
      <c r="N15" s="8">
        <f>G15</f>
        <v/>
      </c>
      <c r="O15" s="9">
        <f>IF(D15="Aceptado",O14+C15,O14)</f>
        <v/>
      </c>
    </row>
    <row r="16">
      <c r="A16" s="18" t="n">
        <v>13</v>
      </c>
      <c r="B16" s="18" t="inlineStr">
        <is>
          <t>x1 — x3</t>
        </is>
      </c>
      <c r="C16" s="19">
        <f>'B-Matriz MI'!H5</f>
        <v/>
      </c>
      <c r="D16" s="20">
        <f>IF(M16=N16,"Rechazado","Aceptado")</f>
        <v/>
      </c>
      <c r="E16" s="18">
        <f>IF(D16="Aceptado","","Ciclo: x1 y x3 ya conectados")</f>
        <v/>
      </c>
      <c r="F16" s="21">
        <f>IF(D15="Aceptado",IF(F15=N15,M15,F15),F15)</f>
        <v/>
      </c>
      <c r="G16" s="21">
        <f>IF(D15="Aceptado",IF(G15=N15,M15,G15),G15)</f>
        <v/>
      </c>
      <c r="H16" s="21">
        <f>IF(D15="Aceptado",IF(H15=N15,M15,H15),H15)</f>
        <v/>
      </c>
      <c r="I16" s="21">
        <f>IF(D15="Aceptado",IF(I15=N15,M15,I15),I15)</f>
        <v/>
      </c>
      <c r="J16" s="21">
        <f>IF(D15="Aceptado",IF(J15=N15,M15,J15),J15)</f>
        <v/>
      </c>
      <c r="K16" s="21">
        <f>IF(D15="Aceptado",IF(K15=N15,M15,K15),K15)</f>
        <v/>
      </c>
      <c r="L16" s="21">
        <f>IF(D15="Aceptado",IF(L15=N15,M15,L15),L15)</f>
        <v/>
      </c>
      <c r="M16" s="8">
        <f>F16</f>
        <v/>
      </c>
      <c r="N16" s="8">
        <f>L16</f>
        <v/>
      </c>
      <c r="O16" s="9">
        <f>IF(D16="Aceptado",O15+C16,O15)</f>
        <v/>
      </c>
    </row>
    <row r="17">
      <c r="A17" s="22" t="n">
        <v>14</v>
      </c>
      <c r="B17" s="22" t="inlineStr">
        <is>
          <t>x2 — x4</t>
        </is>
      </c>
      <c r="C17" s="23">
        <f>'B-Matriz MI'!E6</f>
        <v/>
      </c>
      <c r="D17" s="24">
        <f>IF(M17=N17,"Rechazado","Aceptado")</f>
        <v/>
      </c>
      <c r="E17" s="22">
        <f>IF(D17="Aceptado","","Ciclo: x2 y x4 ya conectados")</f>
        <v/>
      </c>
      <c r="F17" s="21">
        <f>IF(D16="Aceptado",IF(F16=N16,M16,F16),F16)</f>
        <v/>
      </c>
      <c r="G17" s="21">
        <f>IF(D16="Aceptado",IF(G16=N16,M16,G16),G16)</f>
        <v/>
      </c>
      <c r="H17" s="21">
        <f>IF(D16="Aceptado",IF(H16=N16,M16,H16),H16)</f>
        <v/>
      </c>
      <c r="I17" s="21">
        <f>IF(D16="Aceptado",IF(I16=N16,M16,I16),I16)</f>
        <v/>
      </c>
      <c r="J17" s="21">
        <f>IF(D16="Aceptado",IF(J16=N16,M16,J16),J16)</f>
        <v/>
      </c>
      <c r="K17" s="21">
        <f>IF(D16="Aceptado",IF(K16=N16,M16,K16),K16)</f>
        <v/>
      </c>
      <c r="L17" s="21">
        <f>IF(D16="Aceptado",IF(L16=N16,M16,L16),L16)</f>
        <v/>
      </c>
      <c r="M17" s="8">
        <f>G17</f>
        <v/>
      </c>
      <c r="N17" s="8">
        <f>I17</f>
        <v/>
      </c>
      <c r="O17" s="9">
        <f>IF(D17="Aceptado",O16+C17,O16)</f>
        <v/>
      </c>
    </row>
    <row r="18">
      <c r="A18" s="22" t="n">
        <v>15</v>
      </c>
      <c r="B18" s="22" t="inlineStr">
        <is>
          <t>x2 — x3</t>
        </is>
      </c>
      <c r="C18" s="23">
        <f>'B-Matriz MI'!H6</f>
        <v/>
      </c>
      <c r="D18" s="24">
        <f>IF(M18=N18,"Rechazado","Aceptado")</f>
        <v/>
      </c>
      <c r="E18" s="22">
        <f>IF(D18="Aceptado","","Ciclo: x2 y x3 ya conectados")</f>
        <v/>
      </c>
      <c r="F18" s="21">
        <f>IF(D17="Aceptado",IF(F17=N17,M17,F17),F17)</f>
        <v/>
      </c>
      <c r="G18" s="21">
        <f>IF(D17="Aceptado",IF(G17=N17,M17,G17),G17)</f>
        <v/>
      </c>
      <c r="H18" s="21">
        <f>IF(D17="Aceptado",IF(H17=N17,M17,H17),H17)</f>
        <v/>
      </c>
      <c r="I18" s="21">
        <f>IF(D17="Aceptado",IF(I17=N17,M17,I17),I17)</f>
        <v/>
      </c>
      <c r="J18" s="21">
        <f>IF(D17="Aceptado",IF(J17=N17,M17,J17),J17)</f>
        <v/>
      </c>
      <c r="K18" s="21">
        <f>IF(D17="Aceptado",IF(K17=N17,M17,K17),K17)</f>
        <v/>
      </c>
      <c r="L18" s="21">
        <f>IF(D17="Aceptado",IF(L17=N17,M17,L17),L17)</f>
        <v/>
      </c>
      <c r="M18" s="8">
        <f>G18</f>
        <v/>
      </c>
      <c r="N18" s="8">
        <f>L18</f>
        <v/>
      </c>
      <c r="O18" s="9">
        <f>IF(D18="Aceptado",O17+C18,O17)</f>
        <v/>
      </c>
    </row>
    <row r="19">
      <c r="A19" s="22" t="n">
        <v>16</v>
      </c>
      <c r="B19" s="22" t="inlineStr">
        <is>
          <t>x5 — x3</t>
        </is>
      </c>
      <c r="C19" s="23">
        <f>'B-Matriz MI'!H7</f>
        <v/>
      </c>
      <c r="D19" s="24">
        <f>IF(M19=N19,"Rechazado","Aceptado")</f>
        <v/>
      </c>
      <c r="E19" s="22">
        <f>IF(D19="Aceptado","","Ciclo: x5 y x3 ya conectados")</f>
        <v/>
      </c>
      <c r="F19" s="21">
        <f>IF(D18="Aceptado",IF(F18=N18,M18,F18),F18)</f>
        <v/>
      </c>
      <c r="G19" s="21">
        <f>IF(D18="Aceptado",IF(G18=N18,M18,G18),G18)</f>
        <v/>
      </c>
      <c r="H19" s="21">
        <f>IF(D18="Aceptado",IF(H18=N18,M18,H18),H18)</f>
        <v/>
      </c>
      <c r="I19" s="21">
        <f>IF(D18="Aceptado",IF(I18=N18,M18,I18),I18)</f>
        <v/>
      </c>
      <c r="J19" s="21">
        <f>IF(D18="Aceptado",IF(J18=N18,M18,J18),J18)</f>
        <v/>
      </c>
      <c r="K19" s="21">
        <f>IF(D18="Aceptado",IF(K18=N18,M18,K18),K18)</f>
        <v/>
      </c>
      <c r="L19" s="21">
        <f>IF(D18="Aceptado",IF(L18=N18,M18,L18),L18)</f>
        <v/>
      </c>
      <c r="M19" s="8">
        <f>H19</f>
        <v/>
      </c>
      <c r="N19" s="8">
        <f>L19</f>
        <v/>
      </c>
      <c r="O19" s="9">
        <f>IF(D19="Aceptado",O18+C19,O18)</f>
        <v/>
      </c>
    </row>
    <row r="20">
      <c r="A20" s="22" t="n">
        <v>17</v>
      </c>
      <c r="B20" s="22" t="inlineStr">
        <is>
          <t>x4 — x6</t>
        </is>
      </c>
      <c r="C20" s="23">
        <f>'B-Matriz MI'!F8</f>
        <v/>
      </c>
      <c r="D20" s="24">
        <f>IF(M20=N20,"Rechazado","Aceptado")</f>
        <v/>
      </c>
      <c r="E20" s="22">
        <f>IF(D20="Aceptado","","Ciclo: x4 y x6 ya conectados")</f>
        <v/>
      </c>
      <c r="F20" s="21">
        <f>IF(D19="Aceptado",IF(F19=N19,M19,F19),F19)</f>
        <v/>
      </c>
      <c r="G20" s="21">
        <f>IF(D19="Aceptado",IF(G19=N19,M19,G19),G19)</f>
        <v/>
      </c>
      <c r="H20" s="21">
        <f>IF(D19="Aceptado",IF(H19=N19,M19,H19),H19)</f>
        <v/>
      </c>
      <c r="I20" s="21">
        <f>IF(D19="Aceptado",IF(I19=N19,M19,I19),I19)</f>
        <v/>
      </c>
      <c r="J20" s="21">
        <f>IF(D19="Aceptado",IF(J19=N19,M19,J19),J19)</f>
        <v/>
      </c>
      <c r="K20" s="21">
        <f>IF(D19="Aceptado",IF(K19=N19,M19,K19),K19)</f>
        <v/>
      </c>
      <c r="L20" s="21">
        <f>IF(D19="Aceptado",IF(L19=N19,M19,L19),L19)</f>
        <v/>
      </c>
      <c r="M20" s="8">
        <f>I20</f>
        <v/>
      </c>
      <c r="N20" s="8">
        <f>J20</f>
        <v/>
      </c>
      <c r="O20" s="9">
        <f>IF(D20="Aceptado",O19+C20,O19)</f>
        <v/>
      </c>
    </row>
    <row r="21">
      <c r="A21" s="22" t="n">
        <v>18</v>
      </c>
      <c r="B21" s="22" t="inlineStr">
        <is>
          <t>x9 — x3</t>
        </is>
      </c>
      <c r="C21" s="23">
        <f>'B-Matriz MI'!H10</f>
        <v/>
      </c>
      <c r="D21" s="24">
        <f>IF(M21=N21,"Rechazado","Aceptado")</f>
        <v/>
      </c>
      <c r="E21" s="22">
        <f>IF(D21="Aceptado","","Ciclo: x9 y x3 ya conectados")</f>
        <v/>
      </c>
      <c r="F21" s="21">
        <f>IF(D20="Aceptado",IF(F20=N20,M20,F20),F20)</f>
        <v/>
      </c>
      <c r="G21" s="21">
        <f>IF(D20="Aceptado",IF(G20=N20,M20,G20),G20)</f>
        <v/>
      </c>
      <c r="H21" s="21">
        <f>IF(D20="Aceptado",IF(H20=N20,M20,H20),H20)</f>
        <v/>
      </c>
      <c r="I21" s="21">
        <f>IF(D20="Aceptado",IF(I20=N20,M20,I20),I20)</f>
        <v/>
      </c>
      <c r="J21" s="21">
        <f>IF(D20="Aceptado",IF(J20=N20,M20,J20),J20)</f>
        <v/>
      </c>
      <c r="K21" s="21">
        <f>IF(D20="Aceptado",IF(K20=N20,M20,K20),K20)</f>
        <v/>
      </c>
      <c r="L21" s="21">
        <f>IF(D20="Aceptado",IF(L20=N20,M20,L20),L20)</f>
        <v/>
      </c>
      <c r="M21" s="8">
        <f>K21</f>
        <v/>
      </c>
      <c r="N21" s="8">
        <f>L21</f>
        <v/>
      </c>
      <c r="O21" s="9">
        <f>IF(D21="Aceptado",O20+C21,O20)</f>
        <v/>
      </c>
    </row>
    <row r="22">
      <c r="A22" s="22" t="n">
        <v>19</v>
      </c>
      <c r="B22" s="22" t="inlineStr">
        <is>
          <t>x6 — x3</t>
        </is>
      </c>
      <c r="C22" s="23">
        <f>'B-Matriz MI'!H9</f>
        <v/>
      </c>
      <c r="D22" s="24">
        <f>IF(M22=N22,"Rechazado","Aceptado")</f>
        <v/>
      </c>
      <c r="E22" s="22">
        <f>IF(D22="Aceptado","","Ciclo: x6 y x3 ya conectados")</f>
        <v/>
      </c>
      <c r="F22" s="21">
        <f>IF(D21="Aceptado",IF(F21=N21,M21,F21),F21)</f>
        <v/>
      </c>
      <c r="G22" s="21">
        <f>IF(D21="Aceptado",IF(G21=N21,M21,G21),G21)</f>
        <v/>
      </c>
      <c r="H22" s="21">
        <f>IF(D21="Aceptado",IF(H21=N21,M21,H21),H21)</f>
        <v/>
      </c>
      <c r="I22" s="21">
        <f>IF(D21="Aceptado",IF(I21=N21,M21,I21),I21)</f>
        <v/>
      </c>
      <c r="J22" s="21">
        <f>IF(D21="Aceptado",IF(J21=N21,M21,J21),J21)</f>
        <v/>
      </c>
      <c r="K22" s="21">
        <f>IF(D21="Aceptado",IF(K21=N21,M21,K21),K21)</f>
        <v/>
      </c>
      <c r="L22" s="21">
        <f>IF(D21="Aceptado",IF(L21=N21,M21,L21),L21)</f>
        <v/>
      </c>
      <c r="M22" s="8">
        <f>J22</f>
        <v/>
      </c>
      <c r="N22" s="8">
        <f>L22</f>
        <v/>
      </c>
      <c r="O22" s="9">
        <f>IF(D22="Aceptado",O21+C22,O21)</f>
        <v/>
      </c>
    </row>
    <row r="23">
      <c r="A23" s="22" t="n">
        <v>20</v>
      </c>
      <c r="B23" s="22" t="inlineStr">
        <is>
          <t>x1 — x4</t>
        </is>
      </c>
      <c r="C23" s="23">
        <f>'B-Matriz MI'!E5</f>
        <v/>
      </c>
      <c r="D23" s="24">
        <f>IF(M23=N23,"Rechazado","Aceptado")</f>
        <v/>
      </c>
      <c r="E23" s="22">
        <f>IF(D23="Aceptado","","Ciclo: x1 y x4 ya conectados")</f>
        <v/>
      </c>
      <c r="F23" s="21">
        <f>IF(D22="Aceptado",IF(F22=N22,M22,F22),F22)</f>
        <v/>
      </c>
      <c r="G23" s="21">
        <f>IF(D22="Aceptado",IF(G22=N22,M22,G22),G22)</f>
        <v/>
      </c>
      <c r="H23" s="21">
        <f>IF(D22="Aceptado",IF(H22=N22,M22,H22),H22)</f>
        <v/>
      </c>
      <c r="I23" s="21">
        <f>IF(D22="Aceptado",IF(I22=N22,M22,I22),I22)</f>
        <v/>
      </c>
      <c r="J23" s="21">
        <f>IF(D22="Aceptado",IF(J22=N22,M22,J22),J22)</f>
        <v/>
      </c>
      <c r="K23" s="21">
        <f>IF(D22="Aceptado",IF(K22=N22,M22,K22),K22)</f>
        <v/>
      </c>
      <c r="L23" s="21">
        <f>IF(D22="Aceptado",IF(L22=N22,M22,L22),L22)</f>
        <v/>
      </c>
      <c r="M23" s="8">
        <f>F23</f>
        <v/>
      </c>
      <c r="N23" s="8">
        <f>I23</f>
        <v/>
      </c>
      <c r="O23" s="9">
        <f>IF(D23="Aceptado",O22+C23,O22)</f>
        <v/>
      </c>
    </row>
    <row r="24">
      <c r="A24" s="22" t="n">
        <v>21</v>
      </c>
      <c r="B24" s="22" t="inlineStr">
        <is>
          <t>x4 — x3</t>
        </is>
      </c>
      <c r="C24" s="23">
        <f>'B-Matriz MI'!H8</f>
        <v/>
      </c>
      <c r="D24" s="24">
        <f>IF(M24=N24,"Rechazado","Aceptado")</f>
        <v/>
      </c>
      <c r="E24" s="22">
        <f>IF(D24="Aceptado","","Ciclo: x4 y x3 ya conectados")</f>
        <v/>
      </c>
      <c r="F24" s="21">
        <f>IF(D23="Aceptado",IF(F23=N23,M23,F23),F23)</f>
        <v/>
      </c>
      <c r="G24" s="21">
        <f>IF(D23="Aceptado",IF(G23=N23,M23,G23),G23)</f>
        <v/>
      </c>
      <c r="H24" s="21">
        <f>IF(D23="Aceptado",IF(H23=N23,M23,H23),H23)</f>
        <v/>
      </c>
      <c r="I24" s="21">
        <f>IF(D23="Aceptado",IF(I23=N23,M23,I23),I23)</f>
        <v/>
      </c>
      <c r="J24" s="21">
        <f>IF(D23="Aceptado",IF(J23=N23,M23,J23),J23)</f>
        <v/>
      </c>
      <c r="K24" s="21">
        <f>IF(D23="Aceptado",IF(K23=N23,M23,K23),K23)</f>
        <v/>
      </c>
      <c r="L24" s="21">
        <f>IF(D23="Aceptado",IF(L23=N23,M23,L23),L23)</f>
        <v/>
      </c>
      <c r="M24" s="8">
        <f>I24</f>
        <v/>
      </c>
      <c r="N24" s="8">
        <f>L24</f>
        <v/>
      </c>
      <c r="O24" s="9">
        <f>IF(D24="Aceptado",O23+C24,O23)</f>
        <v/>
      </c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7" customWidth="1" min="4" max="4"/>
    <col width="31" customWidth="1" min="5" max="5"/>
    <col width="10" customWidth="1" min="6" max="6"/>
  </cols>
  <sheetData>
    <row r="1">
      <c r="A1" s="12" t="inlineStr">
        <is>
          <t>Dataset B — Algoritmo de Prim (desde x5)</t>
        </is>
      </c>
    </row>
    <row r="3">
      <c r="A3" s="6" t="inlineStr">
        <is>
          <t>Paso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Origen→Destino</t>
        </is>
      </c>
      <c r="E3" s="6" t="inlineStr">
        <is>
          <t>Visitados</t>
        </is>
      </c>
      <c r="F3" s="6" t="inlineStr">
        <is>
          <t>Acum</t>
        </is>
      </c>
    </row>
    <row r="4">
      <c r="A4" s="18" t="inlineStr">
        <is>
          <t>Paso 1</t>
        </is>
      </c>
      <c r="B4" s="18" t="inlineStr">
        <is>
          <t>x5 — x2</t>
        </is>
      </c>
      <c r="C4" s="19" t="n">
        <v>0.6555</v>
      </c>
      <c r="D4" s="18" t="inlineStr">
        <is>
          <t>x5 → x2</t>
        </is>
      </c>
      <c r="E4" s="18" t="inlineStr">
        <is>
          <t>{x2, x5}</t>
        </is>
      </c>
      <c r="F4" s="19" t="n">
        <v>0.6555</v>
      </c>
    </row>
    <row r="5">
      <c r="A5" s="18" t="inlineStr">
        <is>
          <t>Paso 2</t>
        </is>
      </c>
      <c r="B5" s="18" t="inlineStr">
        <is>
          <t>x5 — x1</t>
        </is>
      </c>
      <c r="C5" s="19" t="n">
        <v>0.415</v>
      </c>
      <c r="D5" s="18" t="inlineStr">
        <is>
          <t>x5 → x1</t>
        </is>
      </c>
      <c r="E5" s="18" t="inlineStr">
        <is>
          <t>{x2, x5, x1}</t>
        </is>
      </c>
      <c r="F5" s="19" t="n">
        <v>1.0704</v>
      </c>
    </row>
    <row r="6">
      <c r="A6" s="18" t="inlineStr">
        <is>
          <t>Paso 3</t>
        </is>
      </c>
      <c r="B6" s="18" t="inlineStr">
        <is>
          <t>x5 — x9</t>
        </is>
      </c>
      <c r="C6" s="19" t="n">
        <v>0.0162</v>
      </c>
      <c r="D6" s="18" t="inlineStr">
        <is>
          <t>x5 → x9</t>
        </is>
      </c>
      <c r="E6" s="18" t="inlineStr">
        <is>
          <t>{x9, x2, x5, x1}</t>
        </is>
      </c>
      <c r="F6" s="19" t="n">
        <v>1.0866</v>
      </c>
    </row>
    <row r="7">
      <c r="A7" s="18" t="inlineStr">
        <is>
          <t>Paso 4</t>
        </is>
      </c>
      <c r="B7" s="18" t="inlineStr">
        <is>
          <t>x9 — x6</t>
        </is>
      </c>
      <c r="C7" s="19" t="n">
        <v>0.9974</v>
      </c>
      <c r="D7" s="18" t="inlineStr">
        <is>
          <t>x9 → x6</t>
        </is>
      </c>
      <c r="E7" s="18" t="inlineStr">
        <is>
          <t>{x2, x6, x1, x9, x5}</t>
        </is>
      </c>
      <c r="F7" s="19" t="n">
        <v>2.084</v>
      </c>
    </row>
    <row r="8">
      <c r="A8" s="18" t="inlineStr">
        <is>
          <t>Paso 5</t>
        </is>
      </c>
      <c r="B8" s="18" t="inlineStr">
        <is>
          <t>x9 — x4</t>
        </is>
      </c>
      <c r="C8" s="19" t="n">
        <v>0.7475000000000001</v>
      </c>
      <c r="D8" s="18" t="inlineStr">
        <is>
          <t>x9 → x4</t>
        </is>
      </c>
      <c r="E8" s="18" t="inlineStr">
        <is>
          <t>{x4, x2, x6, x1, x9, x5}</t>
        </is>
      </c>
      <c r="F8" s="19" t="n">
        <v>2.8315</v>
      </c>
    </row>
    <row r="9">
      <c r="A9" s="18" t="inlineStr">
        <is>
          <t>Paso 6</t>
        </is>
      </c>
      <c r="B9" s="18" t="inlineStr">
        <is>
          <t>x1 — x3</t>
        </is>
      </c>
      <c r="C9" s="19" t="n">
        <v>0.0022</v>
      </c>
      <c r="D9" s="18" t="inlineStr">
        <is>
          <t>x1 → x3</t>
        </is>
      </c>
      <c r="E9" s="18" t="inlineStr">
        <is>
          <t>{x4, x2, x6, x1, x3, x9, x5}</t>
        </is>
      </c>
      <c r="F9" s="19" t="n">
        <v>2.8337</v>
      </c>
    </row>
    <row r="11">
      <c r="A11" s="25" t="inlineStr">
        <is>
          <t>PESO TOTAL MST (Prim)</t>
        </is>
      </c>
      <c r="B11" s="26" t="n"/>
      <c r="C11" s="26" t="n"/>
      <c r="D11" s="26" t="n"/>
      <c r="E11" s="27" t="n"/>
      <c r="F11" s="11" t="n">
        <v>2.8337</v>
      </c>
    </row>
  </sheetData>
  <mergeCells count="2">
    <mergeCell ref="A11:E11"/>
    <mergeCell ref="A1:F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2" customWidth="1" min="4" max="4"/>
  </cols>
  <sheetData>
    <row r="1">
      <c r="A1" s="12" t="inlineStr">
        <is>
          <t>Dataset B — MST Resumen</t>
        </is>
      </c>
    </row>
    <row r="3">
      <c r="A3" s="6" t="inlineStr">
        <is>
          <t>#</t>
        </is>
      </c>
      <c r="B3" s="6" t="inlineStr">
        <is>
          <t>Arista</t>
        </is>
      </c>
      <c r="C3" s="6" t="inlineStr">
        <is>
          <t>Peso IM</t>
        </is>
      </c>
      <c r="D3" s="6" t="inlineStr">
        <is>
          <t>Acumulado</t>
        </is>
      </c>
    </row>
    <row r="4">
      <c r="A4" s="18" t="n">
        <v>1</v>
      </c>
      <c r="B4" s="18" t="inlineStr">
        <is>
          <t>x6 — x9</t>
        </is>
      </c>
      <c r="C4" s="19" t="n">
        <v>0.9974</v>
      </c>
      <c r="D4" s="19" t="n">
        <v>0.9974</v>
      </c>
    </row>
    <row r="5">
      <c r="A5" s="18" t="n">
        <v>2</v>
      </c>
      <c r="B5" s="18" t="inlineStr">
        <is>
          <t>x4 — x9</t>
        </is>
      </c>
      <c r="C5" s="19" t="n">
        <v>0.7475000000000001</v>
      </c>
      <c r="D5" s="19" t="n">
        <v>1.7449</v>
      </c>
    </row>
    <row r="6">
      <c r="A6" s="18" t="n">
        <v>3</v>
      </c>
      <c r="B6" s="18" t="inlineStr">
        <is>
          <t>x2 — x5</t>
        </is>
      </c>
      <c r="C6" s="19" t="n">
        <v>0.6555</v>
      </c>
      <c r="D6" s="19" t="n">
        <v>2.4003</v>
      </c>
    </row>
    <row r="7">
      <c r="A7" s="18" t="n">
        <v>4</v>
      </c>
      <c r="B7" s="18" t="inlineStr">
        <is>
          <t>x1 — x5</t>
        </is>
      </c>
      <c r="C7" s="19" t="n">
        <v>0.415</v>
      </c>
      <c r="D7" s="19" t="n">
        <v>2.8153</v>
      </c>
    </row>
    <row r="8">
      <c r="A8" s="18" t="n">
        <v>5</v>
      </c>
      <c r="B8" s="18" t="inlineStr">
        <is>
          <t>x5 — x9</t>
        </is>
      </c>
      <c r="C8" s="19" t="n">
        <v>0.0162</v>
      </c>
      <c r="D8" s="19" t="n">
        <v>2.8315</v>
      </c>
    </row>
    <row r="9">
      <c r="A9" s="18" t="n">
        <v>6</v>
      </c>
      <c r="B9" s="18" t="inlineStr">
        <is>
          <t>x1 — x3</t>
        </is>
      </c>
      <c r="C9" s="19" t="n">
        <v>0.0022</v>
      </c>
      <c r="D9" s="19" t="n">
        <v>2.8337</v>
      </c>
    </row>
    <row r="11">
      <c r="A11" s="25" t="inlineStr">
        <is>
          <t>PESO TOTAL MST</t>
        </is>
      </c>
      <c r="B11" s="27" t="n"/>
      <c r="C11" s="11" t="n">
        <v>2.8337</v>
      </c>
      <c r="D11" s="15" t="n"/>
    </row>
  </sheetData>
  <mergeCells count="2">
    <mergeCell ref="A1:D1"/>
    <mergeCell ref="A11:B1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Matriz de Distancias de Caminos - Dataset A (x7=0)</t>
        </is>
      </c>
    </row>
    <row r="2"/>
    <row r="3">
      <c r="A3" s="6" t="inlineStr">
        <is>
          <t>d(i,j)</t>
        </is>
      </c>
      <c r="B3" s="6" t="inlineStr">
        <is>
          <t>x1</t>
        </is>
      </c>
      <c r="C3" s="6" t="inlineStr">
        <is>
          <t>x2</t>
        </is>
      </c>
      <c r="D3" s="6" t="inlineStr">
        <is>
          <t>x3</t>
        </is>
      </c>
      <c r="E3" s="6" t="inlineStr">
        <is>
          <t>x4</t>
        </is>
      </c>
      <c r="F3" s="6" t="inlineStr">
        <is>
          <t>x5</t>
        </is>
      </c>
      <c r="G3" s="6" t="inlineStr">
        <is>
          <t>x6</t>
        </is>
      </c>
      <c r="H3" s="6" t="inlineStr">
        <is>
          <t>x9</t>
        </is>
      </c>
      <c r="I3" s="6" t="inlineStr">
        <is>
          <t>Suma fila</t>
        </is>
      </c>
    </row>
    <row r="4">
      <c r="A4" s="2" t="inlineStr">
        <is>
          <t>x1</t>
        </is>
      </c>
      <c r="B4" s="17" t="n">
        <v>0</v>
      </c>
      <c r="C4" s="9" t="n">
        <v>1.1106</v>
      </c>
      <c r="D4" s="9" t="n">
        <v>0.4364</v>
      </c>
      <c r="E4" s="9" t="n">
        <v>1.1166</v>
      </c>
      <c r="F4" s="9" t="n">
        <v>0.4237</v>
      </c>
      <c r="G4" s="9" t="n">
        <v>1.4304</v>
      </c>
      <c r="H4" s="9" t="n">
        <v>0.4306</v>
      </c>
      <c r="I4" s="11">
        <f>SUM(B4:H4)</f>
        <v/>
      </c>
    </row>
    <row r="5">
      <c r="A5" s="2" t="inlineStr">
        <is>
          <t>x2</t>
        </is>
      </c>
      <c r="B5" s="9" t="n">
        <v>1.1106</v>
      </c>
      <c r="C5" s="17" t="n">
        <v>0</v>
      </c>
      <c r="D5" s="9" t="n">
        <v>0.6996</v>
      </c>
      <c r="E5" s="9" t="n">
        <v>1.3798</v>
      </c>
      <c r="F5" s="9" t="n">
        <v>0.6869</v>
      </c>
      <c r="G5" s="9" t="n">
        <v>1.6936</v>
      </c>
      <c r="H5" s="9" t="n">
        <v>0.6938</v>
      </c>
      <c r="I5" s="11">
        <f>SUM(B5:H5)</f>
        <v/>
      </c>
    </row>
    <row r="6">
      <c r="A6" s="2" t="inlineStr">
        <is>
          <t>x3</t>
        </is>
      </c>
      <c r="B6" s="9" t="n">
        <v>0.4364</v>
      </c>
      <c r="C6" s="9" t="n">
        <v>0.6996</v>
      </c>
      <c r="D6" s="17" t="n">
        <v>0</v>
      </c>
      <c r="E6" s="9" t="n">
        <v>0.6918</v>
      </c>
      <c r="F6" s="9" t="n">
        <v>0.0127</v>
      </c>
      <c r="G6" s="9" t="n">
        <v>1.0056</v>
      </c>
      <c r="H6" s="9" t="n">
        <v>0.0058</v>
      </c>
      <c r="I6" s="11">
        <f>SUM(B6:H6)</f>
        <v/>
      </c>
    </row>
    <row r="7">
      <c r="A7" s="2" t="inlineStr">
        <is>
          <t>x4</t>
        </is>
      </c>
      <c r="B7" s="9" t="n">
        <v>1.1166</v>
      </c>
      <c r="C7" s="9" t="n">
        <v>1.3798</v>
      </c>
      <c r="D7" s="9" t="n">
        <v>0.6918</v>
      </c>
      <c r="E7" s="17" t="n">
        <v>0</v>
      </c>
      <c r="F7" s="9" t="n">
        <v>0.6929</v>
      </c>
      <c r="G7" s="9" t="n">
        <v>1.6858</v>
      </c>
      <c r="H7" s="9" t="n">
        <v>0.6860000000000001</v>
      </c>
      <c r="I7" s="11">
        <f>SUM(B7:H7)</f>
        <v/>
      </c>
    </row>
    <row r="8">
      <c r="A8" s="2" t="inlineStr">
        <is>
          <t>x5</t>
        </is>
      </c>
      <c r="B8" s="9" t="n">
        <v>0.4237</v>
      </c>
      <c r="C8" s="9" t="n">
        <v>0.6869</v>
      </c>
      <c r="D8" s="9" t="n">
        <v>0.0127</v>
      </c>
      <c r="E8" s="9" t="n">
        <v>0.6929</v>
      </c>
      <c r="F8" s="17" t="n">
        <v>0</v>
      </c>
      <c r="G8" s="9" t="n">
        <v>1.0067</v>
      </c>
      <c r="H8" s="9" t="n">
        <v>0.0069</v>
      </c>
      <c r="I8" s="11">
        <f>SUM(B8:H8)</f>
        <v/>
      </c>
    </row>
    <row r="9">
      <c r="A9" s="2" t="inlineStr">
        <is>
          <t>x6</t>
        </is>
      </c>
      <c r="B9" s="9" t="n">
        <v>1.4304</v>
      </c>
      <c r="C9" s="9" t="n">
        <v>1.6936</v>
      </c>
      <c r="D9" s="9" t="n">
        <v>1.0056</v>
      </c>
      <c r="E9" s="9" t="n">
        <v>1.6858</v>
      </c>
      <c r="F9" s="9" t="n">
        <v>1.0067</v>
      </c>
      <c r="G9" s="17" t="n">
        <v>0</v>
      </c>
      <c r="H9" s="9" t="n">
        <v>0.9998</v>
      </c>
      <c r="I9" s="11">
        <f>SUM(B9:H9)</f>
        <v/>
      </c>
    </row>
    <row r="10">
      <c r="A10" s="2" t="inlineStr">
        <is>
          <t>x9</t>
        </is>
      </c>
      <c r="B10" s="9" t="n">
        <v>0.4306</v>
      </c>
      <c r="C10" s="9" t="n">
        <v>0.6938</v>
      </c>
      <c r="D10" s="9" t="n">
        <v>0.0058</v>
      </c>
      <c r="E10" s="9" t="n">
        <v>0.6860000000000001</v>
      </c>
      <c r="F10" s="9" t="n">
        <v>0.0069</v>
      </c>
      <c r="G10" s="9" t="n">
        <v>0.9998</v>
      </c>
      <c r="H10" s="17" t="n">
        <v>0</v>
      </c>
      <c r="I10" s="11">
        <f>SUM(B10:H10)</f>
        <v/>
      </c>
    </row>
  </sheetData>
  <mergeCells count="1">
    <mergeCell ref="A1:I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2" t="inlineStr">
        <is>
          <t>Matriz de Distancias de Caminos - Dataset B (x7=1)</t>
        </is>
      </c>
    </row>
    <row r="2"/>
    <row r="3">
      <c r="A3" s="6" t="inlineStr">
        <is>
          <t>d(i,j)</t>
        </is>
      </c>
      <c r="B3" s="6" t="inlineStr">
        <is>
          <t>x1</t>
        </is>
      </c>
      <c r="C3" s="6" t="inlineStr">
        <is>
          <t>x2</t>
        </is>
      </c>
      <c r="D3" s="6" t="inlineStr">
        <is>
          <t>x3</t>
        </is>
      </c>
      <c r="E3" s="6" t="inlineStr">
        <is>
          <t>x4</t>
        </is>
      </c>
      <c r="F3" s="6" t="inlineStr">
        <is>
          <t>x5</t>
        </is>
      </c>
      <c r="G3" s="6" t="inlineStr">
        <is>
          <t>x6</t>
        </is>
      </c>
      <c r="H3" s="6" t="inlineStr">
        <is>
          <t>x9</t>
        </is>
      </c>
      <c r="I3" s="6" t="inlineStr">
        <is>
          <t>Suma fila</t>
        </is>
      </c>
    </row>
    <row r="4">
      <c r="A4" s="2" t="inlineStr">
        <is>
          <t>x1</t>
        </is>
      </c>
      <c r="B4" s="17" t="n">
        <v>0</v>
      </c>
      <c r="C4" s="9" t="n">
        <v>1.0705</v>
      </c>
      <c r="D4" s="9" t="n">
        <v>0.0022</v>
      </c>
      <c r="E4" s="9" t="n">
        <v>1.1787</v>
      </c>
      <c r="F4" s="9" t="n">
        <v>0.415</v>
      </c>
      <c r="G4" s="9" t="n">
        <v>1.4286</v>
      </c>
      <c r="H4" s="9" t="n">
        <v>0.4312</v>
      </c>
      <c r="I4" s="11">
        <f>SUM(B4:H4)</f>
        <v/>
      </c>
    </row>
    <row r="5">
      <c r="A5" s="2" t="inlineStr">
        <is>
          <t>x2</t>
        </is>
      </c>
      <c r="B5" s="9" t="n">
        <v>1.0705</v>
      </c>
      <c r="C5" s="17" t="n">
        <v>0</v>
      </c>
      <c r="D5" s="9" t="n">
        <v>1.0727</v>
      </c>
      <c r="E5" s="9" t="n">
        <v>1.4192</v>
      </c>
      <c r="F5" s="9" t="n">
        <v>0.6555</v>
      </c>
      <c r="G5" s="9" t="n">
        <v>1.6691</v>
      </c>
      <c r="H5" s="9" t="n">
        <v>0.6717</v>
      </c>
      <c r="I5" s="11">
        <f>SUM(B5:H5)</f>
        <v/>
      </c>
    </row>
    <row r="6">
      <c r="A6" s="2" t="inlineStr">
        <is>
          <t>x3</t>
        </is>
      </c>
      <c r="B6" s="9" t="n">
        <v>0.0022</v>
      </c>
      <c r="C6" s="9" t="n">
        <v>1.0727</v>
      </c>
      <c r="D6" s="17" t="n">
        <v>0</v>
      </c>
      <c r="E6" s="9" t="n">
        <v>1.1809</v>
      </c>
      <c r="F6" s="9" t="n">
        <v>0.4172</v>
      </c>
      <c r="G6" s="9" t="n">
        <v>1.4308</v>
      </c>
      <c r="H6" s="9" t="n">
        <v>0.4334</v>
      </c>
      <c r="I6" s="11">
        <f>SUM(B6:H6)</f>
        <v/>
      </c>
    </row>
    <row r="7">
      <c r="A7" s="2" t="inlineStr">
        <is>
          <t>x4</t>
        </is>
      </c>
      <c r="B7" s="9" t="n">
        <v>1.1787</v>
      </c>
      <c r="C7" s="9" t="n">
        <v>1.4192</v>
      </c>
      <c r="D7" s="9" t="n">
        <v>1.1809</v>
      </c>
      <c r="E7" s="17" t="n">
        <v>0</v>
      </c>
      <c r="F7" s="9" t="n">
        <v>0.7637</v>
      </c>
      <c r="G7" s="9" t="n">
        <v>1.7449</v>
      </c>
      <c r="H7" s="9" t="n">
        <v>0.7475000000000001</v>
      </c>
      <c r="I7" s="11">
        <f>SUM(B7:H7)</f>
        <v/>
      </c>
    </row>
    <row r="8">
      <c r="A8" s="2" t="inlineStr">
        <is>
          <t>x5</t>
        </is>
      </c>
      <c r="B8" s="9" t="n">
        <v>0.415</v>
      </c>
      <c r="C8" s="9" t="n">
        <v>0.6555</v>
      </c>
      <c r="D8" s="9" t="n">
        <v>0.4172</v>
      </c>
      <c r="E8" s="9" t="n">
        <v>0.7637</v>
      </c>
      <c r="F8" s="17" t="n">
        <v>0</v>
      </c>
      <c r="G8" s="9" t="n">
        <v>1.0136</v>
      </c>
      <c r="H8" s="9" t="n">
        <v>0.0162</v>
      </c>
      <c r="I8" s="11">
        <f>SUM(B8:H8)</f>
        <v/>
      </c>
    </row>
    <row r="9">
      <c r="A9" s="2" t="inlineStr">
        <is>
          <t>x6</t>
        </is>
      </c>
      <c r="B9" s="9" t="n">
        <v>1.4286</v>
      </c>
      <c r="C9" s="9" t="n">
        <v>1.6691</v>
      </c>
      <c r="D9" s="9" t="n">
        <v>1.4308</v>
      </c>
      <c r="E9" s="9" t="n">
        <v>1.7449</v>
      </c>
      <c r="F9" s="9" t="n">
        <v>1.0136</v>
      </c>
      <c r="G9" s="17" t="n">
        <v>0</v>
      </c>
      <c r="H9" s="9" t="n">
        <v>0.9974</v>
      </c>
      <c r="I9" s="11">
        <f>SUM(B9:H9)</f>
        <v/>
      </c>
    </row>
    <row r="10">
      <c r="A10" s="2" t="inlineStr">
        <is>
          <t>x9</t>
        </is>
      </c>
      <c r="B10" s="9" t="n">
        <v>0.4312</v>
      </c>
      <c r="C10" s="9" t="n">
        <v>0.6717</v>
      </c>
      <c r="D10" s="9" t="n">
        <v>0.4334</v>
      </c>
      <c r="E10" s="9" t="n">
        <v>0.7475000000000001</v>
      </c>
      <c r="F10" s="9" t="n">
        <v>0.0162</v>
      </c>
      <c r="G10" s="9" t="n">
        <v>0.9974</v>
      </c>
      <c r="H10" s="17" t="n">
        <v>0</v>
      </c>
      <c r="I10" s="11">
        <f>SUM(B10:H10)</f>
        <v/>
      </c>
    </row>
  </sheetData>
  <mergeCells count="1">
    <mergeCell ref="A1:I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2" t="inlineStr">
        <is>
          <t>Analisis de Sensibilidad - Metodo rVP (Rango de Variacion Permitido)</t>
        </is>
      </c>
    </row>
    <row r="2">
      <c r="A2" s="13" t="inlineStr">
        <is>
          <t>D = Suma_A - Suma_B  |  Variable critica si |D| &gt; 0.5</t>
        </is>
      </c>
    </row>
    <row r="3"/>
    <row r="4">
      <c r="A4" s="6" t="inlineStr">
        <is>
          <t>Variable</t>
        </is>
      </c>
      <c r="B4" s="6" t="inlineStr">
        <is>
          <t>Suma_A (Dataset A)</t>
        </is>
      </c>
      <c r="C4" s="6" t="inlineStr">
        <is>
          <t>Suma_B (Dataset B)</t>
        </is>
      </c>
      <c r="D4" s="6" t="inlineStr">
        <is>
          <t>D = Suma_A - Suma_B</t>
        </is>
      </c>
      <c r="E4" s="6" t="inlineStr">
        <is>
          <t>|D|</t>
        </is>
      </c>
      <c r="F4" s="6" t="inlineStr">
        <is>
          <t>Critica?</t>
        </is>
      </c>
    </row>
    <row r="5">
      <c r="A5" s="20" t="inlineStr">
        <is>
          <t>x1</t>
        </is>
      </c>
      <c r="B5" s="19">
        <f>'Rutas MST A'!I4</f>
        <v/>
      </c>
      <c r="C5" s="19">
        <f>'Rutas MST B'!I4</f>
        <v/>
      </c>
      <c r="D5" s="11">
        <f>B5-C5</f>
        <v/>
      </c>
      <c r="E5" s="19">
        <f>ABS(D5)</f>
        <v/>
      </c>
      <c r="F5" s="20">
        <f>IF(E5&gt;0.5,"Si","No")</f>
        <v/>
      </c>
    </row>
    <row r="6">
      <c r="A6" s="20" t="inlineStr">
        <is>
          <t>x2</t>
        </is>
      </c>
      <c r="B6" s="19">
        <f>'Rutas MST A'!I5</f>
        <v/>
      </c>
      <c r="C6" s="19">
        <f>'Rutas MST B'!I5</f>
        <v/>
      </c>
      <c r="D6" s="11">
        <f>B6-C6</f>
        <v/>
      </c>
      <c r="E6" s="19">
        <f>ABS(D6)</f>
        <v/>
      </c>
      <c r="F6" s="20">
        <f>IF(E6&gt;0.5,"Si","No")</f>
        <v/>
      </c>
    </row>
    <row r="7">
      <c r="A7" s="24" t="inlineStr">
        <is>
          <t>x3</t>
        </is>
      </c>
      <c r="B7" s="23">
        <f>'Rutas MST A'!I6</f>
        <v/>
      </c>
      <c r="C7" s="23">
        <f>'Rutas MST B'!I6</f>
        <v/>
      </c>
      <c r="D7" s="28">
        <f>B7-C7</f>
        <v/>
      </c>
      <c r="E7" s="23">
        <f>ABS(D7)</f>
        <v/>
      </c>
      <c r="F7" s="24">
        <f>IF(E7&gt;0.5,"Si","No")</f>
        <v/>
      </c>
    </row>
    <row r="8">
      <c r="A8" s="24" t="inlineStr">
        <is>
          <t>x4</t>
        </is>
      </c>
      <c r="B8" s="23">
        <f>'Rutas MST A'!I7</f>
        <v/>
      </c>
      <c r="C8" s="23">
        <f>'Rutas MST B'!I7</f>
        <v/>
      </c>
      <c r="D8" s="28">
        <f>B8-C8</f>
        <v/>
      </c>
      <c r="E8" s="23">
        <f>ABS(D8)</f>
        <v/>
      </c>
      <c r="F8" s="24">
        <f>IF(E8&gt;0.5,"Si","No")</f>
        <v/>
      </c>
    </row>
    <row r="9">
      <c r="A9" s="20" t="inlineStr">
        <is>
          <t>x5</t>
        </is>
      </c>
      <c r="B9" s="19">
        <f>'Rutas MST A'!I8</f>
        <v/>
      </c>
      <c r="C9" s="19">
        <f>'Rutas MST B'!I8</f>
        <v/>
      </c>
      <c r="D9" s="11">
        <f>B9-C9</f>
        <v/>
      </c>
      <c r="E9" s="19">
        <f>ABS(D9)</f>
        <v/>
      </c>
      <c r="F9" s="20">
        <f>IF(E9&gt;0.5,"Si","No")</f>
        <v/>
      </c>
    </row>
    <row r="10">
      <c r="A10" s="20" t="inlineStr">
        <is>
          <t>x6</t>
        </is>
      </c>
      <c r="B10" s="19">
        <f>'Rutas MST A'!I9</f>
        <v/>
      </c>
      <c r="C10" s="19">
        <f>'Rutas MST B'!I9</f>
        <v/>
      </c>
      <c r="D10" s="11">
        <f>B10-C10</f>
        <v/>
      </c>
      <c r="E10" s="19">
        <f>ABS(D10)</f>
        <v/>
      </c>
      <c r="F10" s="20">
        <f>IF(E10&gt;0.5,"Si","No")</f>
        <v/>
      </c>
    </row>
    <row r="11">
      <c r="A11" s="20" t="inlineStr">
        <is>
          <t>x9</t>
        </is>
      </c>
      <c r="B11" s="19">
        <f>'Rutas MST A'!I10</f>
        <v/>
      </c>
      <c r="C11" s="19">
        <f>'Rutas MST B'!I10</f>
        <v/>
      </c>
      <c r="D11" s="11">
        <f>B11-C11</f>
        <v/>
      </c>
      <c r="E11" s="19">
        <f>ABS(D11)</f>
        <v/>
      </c>
      <c r="F11" s="20">
        <f>IF(E11&gt;0.5,"Si","No")</f>
        <v/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2026-06-29T19:48:53Z</dcterms:created>
  <dcterms:modified xmlns:dcterms="http://purl.org/dc/terms/" xmlns:xsi="http://www.w3.org/2001/XMLSchema-instance" xsi:type="dcterms:W3CDTF">2026-07-06T22:38:20Z</dcterms:modified>
</cp:coreProperties>
</file>